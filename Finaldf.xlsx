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a\Documents\AZERA\"/>
    </mc:Choice>
  </mc:AlternateContent>
  <xr:revisionPtr revIDLastSave="0" documentId="13_ncr:1_{63A3625F-F586-4CEC-AF63-A69B519F0544}" xr6:coauthVersionLast="47" xr6:coauthVersionMax="47" xr10:uidLastSave="{00000000-0000-0000-0000-000000000000}"/>
  <bookViews>
    <workbookView xWindow="23880" yWindow="-120" windowWidth="25440" windowHeight="15390" xr2:uid="{0EEB42F0-442D-4ED0-93AA-C0BACCA00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W3" i="1"/>
  <c r="V3" i="1" s="1"/>
  <c r="W4" i="1"/>
  <c r="W5" i="1"/>
  <c r="W6" i="1"/>
  <c r="W7" i="1"/>
  <c r="V7" i="1" s="1"/>
  <c r="W8" i="1"/>
  <c r="V8" i="1" s="1"/>
  <c r="W9" i="1"/>
  <c r="V9" i="1" s="1"/>
  <c r="W10" i="1"/>
  <c r="W11" i="1"/>
  <c r="W12" i="1"/>
  <c r="W13" i="1"/>
  <c r="V13" i="1" s="1"/>
  <c r="W14" i="1"/>
  <c r="V14" i="1" s="1"/>
  <c r="W15" i="1"/>
  <c r="V15" i="1" s="1"/>
  <c r="W16" i="1"/>
  <c r="W17" i="1"/>
  <c r="W18" i="1"/>
  <c r="W19" i="1"/>
  <c r="V19" i="1" s="1"/>
  <c r="W20" i="1"/>
  <c r="V20" i="1" s="1"/>
  <c r="W21" i="1"/>
  <c r="V21" i="1" s="1"/>
  <c r="W22" i="1"/>
  <c r="W23" i="1"/>
  <c r="W24" i="1"/>
  <c r="W25" i="1"/>
  <c r="V25" i="1" s="1"/>
  <c r="W26" i="1"/>
  <c r="V26" i="1" s="1"/>
  <c r="W27" i="1"/>
  <c r="V27" i="1" s="1"/>
  <c r="W28" i="1"/>
  <c r="W29" i="1"/>
  <c r="W30" i="1"/>
  <c r="W31" i="1"/>
  <c r="V31" i="1" s="1"/>
  <c r="W32" i="1"/>
  <c r="V32" i="1" s="1"/>
  <c r="W33" i="1"/>
  <c r="V33" i="1" s="1"/>
  <c r="W34" i="1"/>
  <c r="W35" i="1"/>
  <c r="W36" i="1"/>
  <c r="W37" i="1"/>
  <c r="V37" i="1" s="1"/>
  <c r="W38" i="1"/>
  <c r="V38" i="1" s="1"/>
  <c r="W39" i="1"/>
  <c r="V39" i="1" s="1"/>
  <c r="W40" i="1"/>
  <c r="W41" i="1"/>
  <c r="W42" i="1"/>
  <c r="W43" i="1"/>
  <c r="V43" i="1" s="1"/>
  <c r="W44" i="1"/>
  <c r="V44" i="1" s="1"/>
  <c r="W45" i="1"/>
  <c r="V45" i="1" s="1"/>
  <c r="W46" i="1"/>
  <c r="W47" i="1"/>
  <c r="W48" i="1"/>
  <c r="W49" i="1"/>
  <c r="V49" i="1" s="1"/>
  <c r="W50" i="1"/>
  <c r="V50" i="1" s="1"/>
  <c r="W51" i="1"/>
  <c r="V51" i="1" s="1"/>
  <c r="W52" i="1"/>
  <c r="W53" i="1"/>
  <c r="W54" i="1"/>
  <c r="W55" i="1"/>
  <c r="V55" i="1" s="1"/>
  <c r="W56" i="1"/>
  <c r="V56" i="1" s="1"/>
  <c r="W57" i="1"/>
  <c r="V57" i="1" s="1"/>
  <c r="W58" i="1"/>
  <c r="W59" i="1"/>
  <c r="W60" i="1"/>
  <c r="W61" i="1"/>
  <c r="V61" i="1" s="1"/>
  <c r="W62" i="1"/>
  <c r="V62" i="1" s="1"/>
  <c r="W63" i="1"/>
  <c r="V63" i="1" s="1"/>
  <c r="W64" i="1"/>
  <c r="W65" i="1"/>
  <c r="W66" i="1"/>
  <c r="W67" i="1"/>
  <c r="V67" i="1" s="1"/>
  <c r="W68" i="1"/>
  <c r="V68" i="1" s="1"/>
  <c r="W69" i="1"/>
  <c r="V69" i="1" s="1"/>
  <c r="W70" i="1"/>
  <c r="W71" i="1"/>
  <c r="W72" i="1"/>
  <c r="W73" i="1"/>
  <c r="V73" i="1" s="1"/>
  <c r="W74" i="1"/>
  <c r="V74" i="1" s="1"/>
  <c r="W75" i="1"/>
  <c r="V75" i="1" s="1"/>
  <c r="W76" i="1"/>
  <c r="W77" i="1"/>
  <c r="W78" i="1"/>
  <c r="W79" i="1"/>
  <c r="V79" i="1" s="1"/>
  <c r="W80" i="1"/>
  <c r="V80" i="1" s="1"/>
  <c r="W81" i="1"/>
  <c r="V81" i="1" s="1"/>
  <c r="W82" i="1"/>
  <c r="W83" i="1"/>
  <c r="W84" i="1"/>
  <c r="W85" i="1"/>
  <c r="V85" i="1" s="1"/>
  <c r="W86" i="1"/>
  <c r="V86" i="1" s="1"/>
  <c r="W87" i="1"/>
  <c r="V87" i="1" s="1"/>
  <c r="W88" i="1"/>
  <c r="W89" i="1"/>
  <c r="W90" i="1"/>
  <c r="W91" i="1"/>
  <c r="V91" i="1" s="1"/>
  <c r="W92" i="1"/>
  <c r="V92" i="1" s="1"/>
  <c r="W93" i="1"/>
  <c r="V93" i="1" s="1"/>
  <c r="W94" i="1"/>
  <c r="W95" i="1"/>
  <c r="W96" i="1"/>
  <c r="W97" i="1"/>
  <c r="V97" i="1" s="1"/>
  <c r="W98" i="1"/>
  <c r="V98" i="1" s="1"/>
  <c r="W99" i="1"/>
  <c r="V99" i="1" s="1"/>
  <c r="W100" i="1"/>
  <c r="W101" i="1"/>
  <c r="W102" i="1"/>
  <c r="W103" i="1"/>
  <c r="V103" i="1" s="1"/>
  <c r="W104" i="1"/>
  <c r="V104" i="1" s="1"/>
  <c r="W105" i="1"/>
  <c r="V105" i="1" s="1"/>
  <c r="W106" i="1"/>
  <c r="W107" i="1"/>
  <c r="W108" i="1"/>
  <c r="W109" i="1"/>
  <c r="V109" i="1" s="1"/>
  <c r="W110" i="1"/>
  <c r="V110" i="1" s="1"/>
  <c r="W111" i="1"/>
  <c r="V111" i="1" s="1"/>
  <c r="W112" i="1"/>
  <c r="W113" i="1"/>
  <c r="V4" i="1"/>
  <c r="V5" i="1"/>
  <c r="V6" i="1"/>
  <c r="V10" i="1"/>
  <c r="V11" i="1"/>
  <c r="V12" i="1"/>
  <c r="V16" i="1"/>
  <c r="V17" i="1"/>
  <c r="V18" i="1"/>
  <c r="V22" i="1"/>
  <c r="V23" i="1"/>
  <c r="V24" i="1"/>
  <c r="V28" i="1"/>
  <c r="V29" i="1"/>
  <c r="V30" i="1"/>
  <c r="V34" i="1"/>
  <c r="V35" i="1"/>
  <c r="V36" i="1"/>
  <c r="V40" i="1"/>
  <c r="V41" i="1"/>
  <c r="V42" i="1"/>
  <c r="V46" i="1"/>
  <c r="V47" i="1"/>
  <c r="V48" i="1"/>
  <c r="V52" i="1"/>
  <c r="V53" i="1"/>
  <c r="V54" i="1"/>
  <c r="V58" i="1"/>
  <c r="V59" i="1"/>
  <c r="V60" i="1"/>
  <c r="V64" i="1"/>
  <c r="V65" i="1"/>
  <c r="V66" i="1"/>
  <c r="V70" i="1"/>
  <c r="V71" i="1"/>
  <c r="V72" i="1"/>
  <c r="V76" i="1"/>
  <c r="V77" i="1"/>
  <c r="V78" i="1"/>
  <c r="V82" i="1"/>
  <c r="V83" i="1"/>
  <c r="V84" i="1"/>
  <c r="V88" i="1"/>
  <c r="V89" i="1"/>
  <c r="V90" i="1"/>
  <c r="V94" i="1"/>
  <c r="V95" i="1"/>
  <c r="V96" i="1"/>
  <c r="V100" i="1"/>
  <c r="V101" i="1"/>
  <c r="V102" i="1"/>
  <c r="V106" i="1"/>
  <c r="V107" i="1"/>
  <c r="V108" i="1"/>
  <c r="V112" i="1"/>
  <c r="V11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V2" i="1"/>
  <c r="W2" i="1"/>
  <c r="H2" i="1"/>
  <c r="J2" i="1"/>
  <c r="L2" i="1"/>
  <c r="N2" i="1"/>
  <c r="P2" i="1"/>
  <c r="F2" i="1"/>
  <c r="U34" i="1"/>
  <c r="S3" i="1"/>
  <c r="U3" i="1" s="1"/>
  <c r="S4" i="1"/>
  <c r="U4" i="1" s="1"/>
  <c r="S5" i="1"/>
  <c r="U5" i="1" s="1"/>
  <c r="S6" i="1"/>
  <c r="U6" i="1" s="1"/>
  <c r="S7" i="1"/>
  <c r="U7" i="1" s="1"/>
  <c r="S8" i="1"/>
  <c r="U8" i="1" s="1"/>
  <c r="S9" i="1"/>
  <c r="U9" i="1" s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U18" i="1" s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56" i="1"/>
  <c r="U56" i="1" s="1"/>
  <c r="S57" i="1"/>
  <c r="U57" i="1" s="1"/>
  <c r="S58" i="1"/>
  <c r="U58" i="1" s="1"/>
  <c r="S59" i="1"/>
  <c r="U59" i="1" s="1"/>
  <c r="S60" i="1"/>
  <c r="U60" i="1" s="1"/>
  <c r="S61" i="1"/>
  <c r="U61" i="1" s="1"/>
  <c r="S62" i="1"/>
  <c r="U62" i="1" s="1"/>
  <c r="S63" i="1"/>
  <c r="U63" i="1" s="1"/>
  <c r="S64" i="1"/>
  <c r="U64" i="1" s="1"/>
  <c r="S65" i="1"/>
  <c r="U65" i="1" s="1"/>
  <c r="S66" i="1"/>
  <c r="U66" i="1" s="1"/>
  <c r="S67" i="1"/>
  <c r="U67" i="1" s="1"/>
  <c r="S68" i="1"/>
  <c r="U68" i="1" s="1"/>
  <c r="S69" i="1"/>
  <c r="U69" i="1" s="1"/>
  <c r="S70" i="1"/>
  <c r="U70" i="1" s="1"/>
  <c r="S71" i="1"/>
  <c r="U71" i="1" s="1"/>
  <c r="S72" i="1"/>
  <c r="U72" i="1" s="1"/>
  <c r="S73" i="1"/>
  <c r="U73" i="1" s="1"/>
  <c r="S74" i="1"/>
  <c r="U74" i="1" s="1"/>
  <c r="S75" i="1"/>
  <c r="U75" i="1" s="1"/>
  <c r="S76" i="1"/>
  <c r="U76" i="1" s="1"/>
  <c r="S77" i="1"/>
  <c r="U77" i="1" s="1"/>
  <c r="S78" i="1"/>
  <c r="U78" i="1" s="1"/>
  <c r="S79" i="1"/>
  <c r="U79" i="1" s="1"/>
  <c r="S80" i="1"/>
  <c r="U80" i="1" s="1"/>
  <c r="S81" i="1"/>
  <c r="U81" i="1" s="1"/>
  <c r="S82" i="1"/>
  <c r="U82" i="1" s="1"/>
  <c r="S83" i="1"/>
  <c r="U83" i="1" s="1"/>
  <c r="S84" i="1"/>
  <c r="U84" i="1" s="1"/>
  <c r="S85" i="1"/>
  <c r="U85" i="1" s="1"/>
  <c r="S86" i="1"/>
  <c r="U86" i="1" s="1"/>
  <c r="S87" i="1"/>
  <c r="U87" i="1" s="1"/>
  <c r="S88" i="1"/>
  <c r="U88" i="1" s="1"/>
  <c r="S89" i="1"/>
  <c r="U89" i="1" s="1"/>
  <c r="S90" i="1"/>
  <c r="U90" i="1" s="1"/>
  <c r="S91" i="1"/>
  <c r="U91" i="1" s="1"/>
  <c r="S92" i="1"/>
  <c r="U92" i="1" s="1"/>
  <c r="S93" i="1"/>
  <c r="U93" i="1" s="1"/>
  <c r="S94" i="1"/>
  <c r="U94" i="1" s="1"/>
  <c r="S95" i="1"/>
  <c r="U95" i="1" s="1"/>
  <c r="S96" i="1"/>
  <c r="U96" i="1" s="1"/>
  <c r="S97" i="1"/>
  <c r="U97" i="1" s="1"/>
  <c r="S98" i="1"/>
  <c r="U98" i="1" s="1"/>
  <c r="S99" i="1"/>
  <c r="U99" i="1" s="1"/>
  <c r="S100" i="1"/>
  <c r="U100" i="1" s="1"/>
  <c r="S101" i="1"/>
  <c r="U101" i="1" s="1"/>
  <c r="S102" i="1"/>
  <c r="U102" i="1" s="1"/>
  <c r="S103" i="1"/>
  <c r="U103" i="1" s="1"/>
  <c r="S104" i="1"/>
  <c r="U104" i="1" s="1"/>
  <c r="S105" i="1"/>
  <c r="U105" i="1" s="1"/>
  <c r="S106" i="1"/>
  <c r="U106" i="1" s="1"/>
  <c r="S107" i="1"/>
  <c r="U107" i="1" s="1"/>
  <c r="S108" i="1"/>
  <c r="U108" i="1" s="1"/>
  <c r="S109" i="1"/>
  <c r="U109" i="1" s="1"/>
  <c r="S110" i="1"/>
  <c r="U110" i="1" s="1"/>
  <c r="S111" i="1"/>
  <c r="U111" i="1" s="1"/>
  <c r="S112" i="1"/>
  <c r="U112" i="1" s="1"/>
  <c r="S113" i="1"/>
  <c r="U113" i="1" s="1"/>
  <c r="S2" i="1"/>
  <c r="U2" i="1" s="1"/>
  <c r="T2" i="1" s="1"/>
  <c r="R2" i="1" l="1"/>
</calcChain>
</file>

<file path=xl/sharedStrings.xml><?xml version="1.0" encoding="utf-8"?>
<sst xmlns="http://schemas.openxmlformats.org/spreadsheetml/2006/main" count="472" uniqueCount="89">
  <si>
    <t>Year</t>
  </si>
  <si>
    <t>Occupation Code</t>
  </si>
  <si>
    <t>Job</t>
  </si>
  <si>
    <t>2006-10</t>
  </si>
  <si>
    <t>Aerospace engineers 1320 (SOC 17-2011)</t>
  </si>
  <si>
    <t>Engineer</t>
  </si>
  <si>
    <t>Biomedical and agricultural engineers 1340 (SOC 17-20XX)</t>
  </si>
  <si>
    <t>Chemical engineers 1350 (SOC 17-2041)</t>
  </si>
  <si>
    <t>Civil engineers 1360 (SOC 17-2051)</t>
  </si>
  <si>
    <t>Computer hardware engineers 1400 (SOC 17-2061)</t>
  </si>
  <si>
    <t>Counselors 2000 (SOC 21-1010)</t>
  </si>
  <si>
    <t>Counselor</t>
  </si>
  <si>
    <t>Drafters 1540 (SOC 17-3010)</t>
  </si>
  <si>
    <t>Electrical and electronics engineers 1410 (SOC 17-2070)</t>
  </si>
  <si>
    <t>Elementary and middle school teachers 2310 (SOC 25-2020)</t>
  </si>
  <si>
    <t>Teacher</t>
  </si>
  <si>
    <t>Engineering technicians, except drafters 1550 (SOC 17-3020)</t>
  </si>
  <si>
    <t>Environmental engineers 1420 (SOC 17-2081)</t>
  </si>
  <si>
    <t>Hairdressers, hairstylists, and cosmetologists 4510 (SOC 39-5012)</t>
  </si>
  <si>
    <t>Hairstylist</t>
  </si>
  <si>
    <t>Industrial engineers, including health and safety 1430 (SOC 17-2110)</t>
  </si>
  <si>
    <t>Marine engineers and naval architects 1440 (SOC 17-2121)</t>
  </si>
  <si>
    <t>Materials engineers 1450 (SOC 17-2131)</t>
  </si>
  <si>
    <t>Mechanical engineers 1460 (SOC 17-2141)</t>
  </si>
  <si>
    <t>Miscellaneous community and social service specialists, including health educators and community health workers 2025 (SOC 21-109X)</t>
  </si>
  <si>
    <t>Miscellaneous engineers, including nuclear engineers 1530 (SOC 17-21YY)</t>
  </si>
  <si>
    <t>Nurse anesthetists 3256 (SOC 29-1151)</t>
  </si>
  <si>
    <t>Nurse</t>
  </si>
  <si>
    <t>Nurse practitioners and nurse midwives 3258 (SOC 29-11XX)</t>
  </si>
  <si>
    <t>Other teachers and instructors 2340 (SOC 25-3000)</t>
  </si>
  <si>
    <t>Petroleum, mining and geological engineers, including mining safety engineers 1520 (SOC 17-21XX)</t>
  </si>
  <si>
    <t>Preschool and kindergarten teachers 2300 (SOC 25-2010)</t>
  </si>
  <si>
    <t>Psychologists 1820 (SOC 19-3030)</t>
  </si>
  <si>
    <t>Registered nurses 3255 (SOC 29-1141)</t>
  </si>
  <si>
    <t>Secondary school teachers 2320 (SOC 25-2030)</t>
  </si>
  <si>
    <t>Social and human service assistants 2016 (SOC 21-1093)</t>
  </si>
  <si>
    <t>Social workers 2010 (SOC 21-1020)</t>
  </si>
  <si>
    <t>Special education teachers 2330 (SOC 25-2050)</t>
  </si>
  <si>
    <t>Surveying and mapping technicians 1560 (SOC 17-3031)</t>
  </si>
  <si>
    <t>Teacher assistants 2540 (SOC 25-9041)</t>
  </si>
  <si>
    <t>2014-18</t>
  </si>
  <si>
    <t>Aerospace engineers</t>
  </si>
  <si>
    <t>Bioengineers, biomedical and agricultural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</si>
  <si>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</si>
  <si>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</si>
  <si>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</si>
  <si>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</si>
  <si>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</si>
  <si>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</si>
  <si>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</si>
  <si>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</si>
  <si>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</si>
  <si>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Petroleum, mining and geological engineers, including mining safety engineers</t>
  </si>
  <si>
    <t>Other engineers</t>
  </si>
  <si>
    <t>Drafters, engineering technicians, and mapping technicians</t>
  </si>
  <si>
    <t>Psychologists</t>
  </si>
  <si>
    <t>Counselors, social workers, and other community and social service specialists</t>
  </si>
  <si>
    <t>Preschool and kindergarten teachers</t>
  </si>
  <si>
    <t>Elementary and middle school teachers</t>
  </si>
  <si>
    <t>Secondary school teachers</t>
  </si>
  <si>
    <t>Special education teachers</t>
  </si>
  <si>
    <t>Teaching assistants</t>
  </si>
  <si>
    <t>Registered nurses</t>
  </si>
  <si>
    <t>Other nurses</t>
  </si>
  <si>
    <t>Nursing, psychiatric, and home health aides</t>
  </si>
  <si>
    <t>Personal appearance workers</t>
  </si>
  <si>
    <t>Gender</t>
  </si>
  <si>
    <t>Female</t>
  </si>
  <si>
    <t>Male</t>
  </si>
  <si>
    <t>Total</t>
  </si>
  <si>
    <t>Hisp</t>
  </si>
  <si>
    <t>White</t>
  </si>
  <si>
    <t>Black</t>
  </si>
  <si>
    <t>AmIn</t>
  </si>
  <si>
    <t>Asian</t>
  </si>
  <si>
    <t>PacIsl</t>
  </si>
  <si>
    <t>2more</t>
  </si>
  <si>
    <t>WOC</t>
  </si>
  <si>
    <t>WOCA</t>
  </si>
  <si>
    <t>%Hisp</t>
  </si>
  <si>
    <t>%White</t>
  </si>
  <si>
    <t>%Black</t>
  </si>
  <si>
    <t>%AmIn</t>
  </si>
  <si>
    <t>%Asian</t>
  </si>
  <si>
    <t>%PI</t>
  </si>
  <si>
    <t>%WOC</t>
  </si>
  <si>
    <t>%WOCA</t>
  </si>
  <si>
    <t>WA</t>
  </si>
  <si>
    <t>%WA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</si>
</sst>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>
    <font>
      <sz val="11"/>
      <color theme="1"/>
      <name val="Calibri"/>
      <family val="2"/>
      <scheme val="minor"/>
    </font>
    <font>
      <sz val="10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3" fontId="1" fillId="2" borderId="2" xfId="0" applyNumberFormat="1" applyFont="1" applyFill="1" applyBorder="1" applyAlignment="1">
      <alignment horizontal="left" vertical="top"/>
    </xf>
    <xf numFmtId="2" fontId="1" fillId="2" borderId="2" xfId="0" applyNumberFormat="1" applyFont="1" applyFill="1" applyBorder="1" applyAlignment="1">
      <alignment horizontal="left" vertical="top"/>
    </xf>
    <xf numFmtId="0" fontId="0" fillId="3" borderId="3" xfId="0" applyFill="1" applyBorder="1"/>
    <xf numFmtId="3" fontId="0" fillId="3" borderId="3" xfId="0" applyNumberFormat="1" applyFill="1" applyBorder="1"/>
    <xf numFmtId="0" fontId="0" fillId="3" borderId="2" xfId="0" applyFill="1" applyBorder="1"/>
    <xf numFmtId="0" fontId="1" fillId="2" borderId="3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3" fontId="0" fillId="3" borderId="2" xfId="0" applyNumberFormat="1" applyFill="1" applyBorder="1"/>
    <xf numFmtId="3" fontId="1" fillId="2" borderId="3" xfId="0" applyNumberFormat="1" applyFont="1" applyFill="1" applyBorder="1" applyAlignment="1">
      <alignment horizontal="left" vertical="top"/>
    </xf>
    <xf numFmtId="2" fontId="1" fillId="2" borderId="3" xfId="0" applyNumberFormat="1" applyFont="1" applyFill="1" applyBorder="1" applyAlignment="1">
      <alignment horizontal="left" vertical="top"/>
    </xf>
    <xf numFmtId="164" fontId="1" fillId="2" borderId="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A17B-31D4-4B33-B7DF-D65DA4FF17F3}">
  <dimension ref="A1:X113"/>
  <sheetViews>
    <sheetView tabSelected="1" topLeftCell="A86" workbookViewId="0">
      <selection activeCell="E116" sqref="E116"/>
    </sheetView>
  </sheetViews>
  <sheetFormatPr defaultColWidth="17" defaultRowHeight="15"/>
  <cols>
    <col min="5" max="24" width="17" customWidth="1"/>
  </cols>
  <sheetData>
    <row r="1" spans="1:24">
      <c r="A1" t="s">
        <v>0</v>
      </c>
      <c r="B1" s="1" t="s">
        <v>1</v>
      </c>
      <c r="C1" s="2" t="s">
        <v>2</v>
      </c>
      <c r="D1" s="2" t="s">
        <v>66</v>
      </c>
      <c r="E1" s="3" t="s">
        <v>69</v>
      </c>
      <c r="F1" s="3" t="s">
        <v>79</v>
      </c>
      <c r="G1" s="3" t="s">
        <v>70</v>
      </c>
      <c r="H1" s="3" t="s">
        <v>80</v>
      </c>
      <c r="I1" s="3" t="s">
        <v>71</v>
      </c>
      <c r="J1" s="3" t="s">
        <v>81</v>
      </c>
      <c r="K1" s="3" t="s">
        <v>72</v>
      </c>
      <c r="L1" s="3" t="s">
        <v>82</v>
      </c>
      <c r="M1" s="3" t="s">
        <v>73</v>
      </c>
      <c r="N1" s="3" t="s">
        <v>83</v>
      </c>
      <c r="O1" s="3" t="s">
        <v>74</v>
      </c>
      <c r="P1" s="3" t="s">
        <v>84</v>
      </c>
      <c r="Q1" s="3" t="s">
        <v>75</v>
      </c>
      <c r="R1" s="3" t="s">
        <v>85</v>
      </c>
      <c r="S1" s="3" t="s">
        <v>77</v>
      </c>
      <c r="T1" s="3" t="s">
        <v>86</v>
      </c>
      <c r="U1" s="3" t="s">
        <v>78</v>
      </c>
      <c r="V1" s="3" t="s">
        <v>88</v>
      </c>
      <c r="W1" s="3" t="s">
        <v>87</v>
      </c>
      <c r="X1" s="3" t="s">
        <v>76</v>
      </c>
    </row>
    <row r="2" spans="1:24">
      <c r="A2" t="s">
        <v>3</v>
      </c>
      <c r="B2" s="3" t="s">
        <v>4</v>
      </c>
      <c r="C2" s="3" t="s">
        <v>5</v>
      </c>
      <c r="D2" s="3" t="s">
        <v>67</v>
      </c>
      <c r="E2" s="4">
        <v>16460</v>
      </c>
      <c r="F2" s="14">
        <f>G2/E2</f>
        <v>1.9137302551640339E-2</v>
      </c>
      <c r="G2" s="3">
        <v>315</v>
      </c>
      <c r="H2" s="14">
        <f>I2/E2</f>
        <v>0.67679222357229651</v>
      </c>
      <c r="I2" s="4">
        <v>11140</v>
      </c>
      <c r="J2" s="14">
        <f>K2/E2</f>
        <v>5.1032806804374241E-2</v>
      </c>
      <c r="K2" s="3">
        <v>840</v>
      </c>
      <c r="L2" s="14">
        <f>M2/E2</f>
        <v>4.556500607533414E-3</v>
      </c>
      <c r="M2" s="3">
        <v>75</v>
      </c>
      <c r="N2" s="14">
        <f>O2/E2</f>
        <v>0.18955042527339003</v>
      </c>
      <c r="O2" s="5">
        <v>3120</v>
      </c>
      <c r="P2" s="14">
        <f>Q2/E2</f>
        <v>0</v>
      </c>
      <c r="Q2" s="3">
        <v>0</v>
      </c>
      <c r="R2" s="14">
        <f>S2/E2</f>
        <v>7.4726609963547991E-2</v>
      </c>
      <c r="S2" s="3">
        <f>K2+G2+M2+Q2</f>
        <v>1230</v>
      </c>
      <c r="T2" s="14">
        <f>U2/E2</f>
        <v>0.26427703523693802</v>
      </c>
      <c r="U2" s="5">
        <f>S2+O2</f>
        <v>4350</v>
      </c>
      <c r="V2" s="14">
        <f>W2/E2</f>
        <v>0.86634264884568646</v>
      </c>
      <c r="W2" s="5">
        <f>O2+I2</f>
        <v>14260</v>
      </c>
      <c r="X2" s="3">
        <v>145</v>
      </c>
    </row>
    <row r="3" spans="1:24">
      <c r="A3" t="s">
        <v>3</v>
      </c>
      <c r="B3" s="3" t="s">
        <v>6</v>
      </c>
      <c r="C3" s="3" t="s">
        <v>5</v>
      </c>
      <c r="D3" s="3" t="s">
        <v>67</v>
      </c>
      <c r="E3" s="4">
        <v>2285</v>
      </c>
      <c r="F3" s="14">
        <f t="shared" ref="F3:F66" si="0">G3/E3</f>
        <v>4.5951859956236324E-2</v>
      </c>
      <c r="G3" s="3">
        <v>105</v>
      </c>
      <c r="H3" s="14">
        <f t="shared" ref="H3:H66" si="1">I3/E3</f>
        <v>0.73522975929978118</v>
      </c>
      <c r="I3" s="4">
        <v>1680</v>
      </c>
      <c r="J3" s="14">
        <f t="shared" ref="J3:J66" si="2">K3/E3</f>
        <v>1.7505470459518599E-2</v>
      </c>
      <c r="K3" s="3">
        <v>40</v>
      </c>
      <c r="L3" s="14">
        <f t="shared" ref="L3:L66" si="3">M3/E3</f>
        <v>0</v>
      </c>
      <c r="M3" s="3">
        <v>0</v>
      </c>
      <c r="N3" s="14">
        <f t="shared" ref="N3:N66" si="4">O3/E3</f>
        <v>0.17067833698030635</v>
      </c>
      <c r="O3" s="5">
        <v>390</v>
      </c>
      <c r="P3" s="14">
        <f t="shared" ref="P3:P66" si="5">Q3/E3</f>
        <v>0</v>
      </c>
      <c r="Q3" s="3">
        <v>0</v>
      </c>
      <c r="R3" s="14">
        <f t="shared" ref="R3:R66" si="6">S3/E3</f>
        <v>6.3457330415754923E-2</v>
      </c>
      <c r="S3" s="3">
        <f t="shared" ref="S3:S66" si="7">K3+G3+M3+Q3</f>
        <v>145</v>
      </c>
      <c r="T3" s="14">
        <f t="shared" ref="T3:T66" si="8">U3/E3</f>
        <v>0.23413566739606126</v>
      </c>
      <c r="U3" s="5">
        <f t="shared" ref="U3:U66" si="9">S3+O3</f>
        <v>535</v>
      </c>
      <c r="V3" s="14">
        <f t="shared" ref="V3:V66" si="10">W3/E3</f>
        <v>0.9059080962800875</v>
      </c>
      <c r="W3" s="5">
        <f t="shared" ref="W3:W66" si="11">O3+I3</f>
        <v>2070</v>
      </c>
      <c r="X3" s="3">
        <v>0</v>
      </c>
    </row>
    <row r="4" spans="1:24">
      <c r="A4" t="s">
        <v>3</v>
      </c>
      <c r="B4" s="3" t="s">
        <v>7</v>
      </c>
      <c r="C4" s="3" t="s">
        <v>5</v>
      </c>
      <c r="D4" s="3" t="s">
        <v>67</v>
      </c>
      <c r="E4" s="4">
        <v>9185</v>
      </c>
      <c r="F4" s="14">
        <f t="shared" si="0"/>
        <v>3.4295046271094178E-2</v>
      </c>
      <c r="G4" s="3">
        <v>315</v>
      </c>
      <c r="H4" s="14">
        <f t="shared" si="1"/>
        <v>0.68753402286336418</v>
      </c>
      <c r="I4" s="4">
        <v>6315</v>
      </c>
      <c r="J4" s="14">
        <f t="shared" si="2"/>
        <v>8.0021774632553069E-2</v>
      </c>
      <c r="K4" s="3">
        <v>735</v>
      </c>
      <c r="L4" s="14">
        <f t="shared" si="3"/>
        <v>4.3549265106151335E-4</v>
      </c>
      <c r="M4" s="3">
        <v>4</v>
      </c>
      <c r="N4" s="14">
        <f t="shared" si="4"/>
        <v>0.15568862275449102</v>
      </c>
      <c r="O4" s="5">
        <v>1430</v>
      </c>
      <c r="P4" s="14">
        <f t="shared" si="5"/>
        <v>0</v>
      </c>
      <c r="Q4" s="3">
        <v>0</v>
      </c>
      <c r="R4" s="14">
        <f t="shared" si="6"/>
        <v>0.11475231355470876</v>
      </c>
      <c r="S4" s="3">
        <f t="shared" si="7"/>
        <v>1054</v>
      </c>
      <c r="T4" s="14">
        <f t="shared" si="8"/>
        <v>0.2704409363091998</v>
      </c>
      <c r="U4" s="5">
        <f t="shared" si="9"/>
        <v>2484</v>
      </c>
      <c r="V4" s="14">
        <f t="shared" si="10"/>
        <v>0.8432226456178552</v>
      </c>
      <c r="W4" s="5">
        <f t="shared" si="11"/>
        <v>7745</v>
      </c>
      <c r="X4" s="3">
        <v>40</v>
      </c>
    </row>
    <row r="5" spans="1:24">
      <c r="A5" t="s">
        <v>3</v>
      </c>
      <c r="B5" s="3" t="s">
        <v>8</v>
      </c>
      <c r="C5" s="3" t="s">
        <v>5</v>
      </c>
      <c r="D5" s="3" t="s">
        <v>67</v>
      </c>
      <c r="E5" s="4">
        <v>41050</v>
      </c>
      <c r="F5" s="14">
        <f t="shared" si="0"/>
        <v>2.6309378806333741E-2</v>
      </c>
      <c r="G5" s="4">
        <v>1080</v>
      </c>
      <c r="H5" s="14">
        <f t="shared" si="1"/>
        <v>0.69598051157125462</v>
      </c>
      <c r="I5" s="4">
        <v>28570</v>
      </c>
      <c r="J5" s="14">
        <f t="shared" si="2"/>
        <v>5.6760048721071862E-2</v>
      </c>
      <c r="K5" s="4">
        <v>2330</v>
      </c>
      <c r="L5" s="14">
        <f t="shared" si="3"/>
        <v>3.2886723507917176E-3</v>
      </c>
      <c r="M5" s="3">
        <v>135</v>
      </c>
      <c r="N5" s="14">
        <f t="shared" si="4"/>
        <v>0.14835566382460413</v>
      </c>
      <c r="O5" s="5">
        <v>6090</v>
      </c>
      <c r="P5" s="14">
        <f t="shared" si="5"/>
        <v>2.92326431181486E-3</v>
      </c>
      <c r="Q5" s="3">
        <v>120</v>
      </c>
      <c r="R5" s="14">
        <f t="shared" si="6"/>
        <v>8.9281364190012175E-2</v>
      </c>
      <c r="S5" s="3">
        <f t="shared" si="7"/>
        <v>3665</v>
      </c>
      <c r="T5" s="14">
        <f t="shared" si="8"/>
        <v>0.23763702801461631</v>
      </c>
      <c r="U5" s="5">
        <f t="shared" si="9"/>
        <v>9755</v>
      </c>
      <c r="V5" s="14">
        <f t="shared" si="10"/>
        <v>0.8443361753958587</v>
      </c>
      <c r="W5" s="5">
        <f t="shared" si="11"/>
        <v>34660</v>
      </c>
      <c r="X5" s="3">
        <v>289</v>
      </c>
    </row>
    <row r="6" spans="1:24">
      <c r="A6" t="s">
        <v>3</v>
      </c>
      <c r="B6" s="3" t="s">
        <v>9</v>
      </c>
      <c r="C6" s="3" t="s">
        <v>5</v>
      </c>
      <c r="D6" s="3" t="s">
        <v>67</v>
      </c>
      <c r="E6" s="4">
        <v>10345</v>
      </c>
      <c r="F6" s="14">
        <f t="shared" si="0"/>
        <v>2.1749637506041565E-2</v>
      </c>
      <c r="G6" s="3">
        <v>225</v>
      </c>
      <c r="H6" s="14">
        <f t="shared" si="1"/>
        <v>0.57129047849202508</v>
      </c>
      <c r="I6" s="4">
        <v>5910</v>
      </c>
      <c r="J6" s="14">
        <f t="shared" si="2"/>
        <v>8.1681971967133879E-2</v>
      </c>
      <c r="K6" s="3">
        <v>845</v>
      </c>
      <c r="L6" s="14">
        <f t="shared" si="3"/>
        <v>4.3499275012083135E-3</v>
      </c>
      <c r="M6" s="3">
        <v>45</v>
      </c>
      <c r="N6" s="14">
        <f t="shared" si="4"/>
        <v>0.26776220396326728</v>
      </c>
      <c r="O6" s="5">
        <v>2770</v>
      </c>
      <c r="P6" s="14">
        <f t="shared" si="5"/>
        <v>1.9333011116481392E-3</v>
      </c>
      <c r="Q6" s="3">
        <v>20</v>
      </c>
      <c r="R6" s="14">
        <f t="shared" si="6"/>
        <v>0.1097148380860319</v>
      </c>
      <c r="S6" s="3">
        <f t="shared" si="7"/>
        <v>1135</v>
      </c>
      <c r="T6" s="14">
        <f t="shared" si="8"/>
        <v>0.37747704204929916</v>
      </c>
      <c r="U6" s="5">
        <f t="shared" si="9"/>
        <v>3905</v>
      </c>
      <c r="V6" s="14">
        <f t="shared" si="10"/>
        <v>0.83905268245529241</v>
      </c>
      <c r="W6" s="5">
        <f t="shared" si="11"/>
        <v>8680</v>
      </c>
      <c r="X6" s="3">
        <v>60</v>
      </c>
    </row>
    <row r="7" spans="1:24">
      <c r="A7" t="s">
        <v>3</v>
      </c>
      <c r="B7" s="3" t="s">
        <v>10</v>
      </c>
      <c r="C7" s="3" t="s">
        <v>11</v>
      </c>
      <c r="D7" s="3" t="s">
        <v>67</v>
      </c>
      <c r="E7" s="4">
        <v>475430</v>
      </c>
      <c r="F7" s="14">
        <f t="shared" si="0"/>
        <v>3.7271522621626738E-2</v>
      </c>
      <c r="G7" s="4">
        <v>17720</v>
      </c>
      <c r="H7" s="14">
        <f t="shared" si="1"/>
        <v>0.67102412552846902</v>
      </c>
      <c r="I7" s="4">
        <v>319025</v>
      </c>
      <c r="J7" s="14">
        <f t="shared" si="2"/>
        <v>0.18453820751740529</v>
      </c>
      <c r="K7" s="4">
        <v>87735</v>
      </c>
      <c r="L7" s="14">
        <f t="shared" si="3"/>
        <v>8.034831626106893E-3</v>
      </c>
      <c r="M7" s="4">
        <v>3820</v>
      </c>
      <c r="N7" s="14">
        <f t="shared" si="4"/>
        <v>2.6775760890141557E-2</v>
      </c>
      <c r="O7" s="5">
        <v>12730</v>
      </c>
      <c r="P7" s="14">
        <f t="shared" si="5"/>
        <v>1.5039017310645101E-3</v>
      </c>
      <c r="Q7" s="3">
        <v>715</v>
      </c>
      <c r="R7" s="14">
        <f t="shared" si="6"/>
        <v>0.23134846349620344</v>
      </c>
      <c r="S7" s="3">
        <f t="shared" si="7"/>
        <v>109990</v>
      </c>
      <c r="T7" s="14">
        <f t="shared" si="8"/>
        <v>0.25812422438634497</v>
      </c>
      <c r="U7" s="5">
        <f t="shared" si="9"/>
        <v>122720</v>
      </c>
      <c r="V7" s="14">
        <f t="shared" si="10"/>
        <v>0.69779988641861057</v>
      </c>
      <c r="W7" s="5">
        <f t="shared" si="11"/>
        <v>331755</v>
      </c>
      <c r="X7" s="4">
        <v>4345</v>
      </c>
    </row>
    <row r="8" spans="1:24">
      <c r="A8" t="s">
        <v>3</v>
      </c>
      <c r="B8" s="3" t="s">
        <v>12</v>
      </c>
      <c r="C8" s="3" t="s">
        <v>5</v>
      </c>
      <c r="D8" s="3" t="s">
        <v>67</v>
      </c>
      <c r="E8" s="4">
        <v>41840</v>
      </c>
      <c r="F8" s="14">
        <f t="shared" si="0"/>
        <v>3.0592734225621414E-2</v>
      </c>
      <c r="G8" s="4">
        <v>1280</v>
      </c>
      <c r="H8" s="14">
        <f t="shared" si="1"/>
        <v>0.77629063097514339</v>
      </c>
      <c r="I8" s="4">
        <v>32480</v>
      </c>
      <c r="J8" s="14">
        <f t="shared" si="2"/>
        <v>4.3499043977055452E-2</v>
      </c>
      <c r="K8" s="4">
        <v>1820</v>
      </c>
      <c r="L8" s="14">
        <f t="shared" si="3"/>
        <v>5.3776290630975143E-3</v>
      </c>
      <c r="M8" s="3">
        <v>225</v>
      </c>
      <c r="N8" s="14">
        <f t="shared" si="4"/>
        <v>7.8752390057361371E-2</v>
      </c>
      <c r="O8" s="5">
        <v>3295</v>
      </c>
      <c r="P8" s="14">
        <f t="shared" si="5"/>
        <v>8.3652007648183562E-4</v>
      </c>
      <c r="Q8" s="3">
        <v>35</v>
      </c>
      <c r="R8" s="14">
        <f t="shared" si="6"/>
        <v>8.0305927342256209E-2</v>
      </c>
      <c r="S8" s="3">
        <f t="shared" si="7"/>
        <v>3360</v>
      </c>
      <c r="T8" s="14">
        <f t="shared" si="8"/>
        <v>0.15905831739961759</v>
      </c>
      <c r="U8" s="5">
        <f t="shared" si="9"/>
        <v>6655</v>
      </c>
      <c r="V8" s="14">
        <f t="shared" si="10"/>
        <v>0.85504302103250474</v>
      </c>
      <c r="W8" s="5">
        <f t="shared" si="11"/>
        <v>35775</v>
      </c>
      <c r="X8" s="3">
        <v>335</v>
      </c>
    </row>
    <row r="9" spans="1:24">
      <c r="A9" t="s">
        <v>3</v>
      </c>
      <c r="B9" s="3" t="s">
        <v>13</v>
      </c>
      <c r="C9" s="3" t="s">
        <v>5</v>
      </c>
      <c r="D9" s="3" t="s">
        <v>67</v>
      </c>
      <c r="E9" s="4">
        <v>22040</v>
      </c>
      <c r="F9" s="14">
        <f t="shared" si="0"/>
        <v>2.6542649727767695E-2</v>
      </c>
      <c r="G9" s="3">
        <v>585</v>
      </c>
      <c r="H9" s="14">
        <f t="shared" si="1"/>
        <v>0.55966424682395643</v>
      </c>
      <c r="I9" s="4">
        <v>12335</v>
      </c>
      <c r="J9" s="14">
        <f t="shared" si="2"/>
        <v>8.9382940108892917E-2</v>
      </c>
      <c r="K9" s="4">
        <v>1970</v>
      </c>
      <c r="L9" s="14">
        <f t="shared" si="3"/>
        <v>3.8566243194192379E-3</v>
      </c>
      <c r="M9" s="3">
        <v>85</v>
      </c>
      <c r="N9" s="14">
        <f t="shared" si="4"/>
        <v>0.2613430127041742</v>
      </c>
      <c r="O9" s="5">
        <v>5760</v>
      </c>
      <c r="P9" s="14">
        <f t="shared" si="5"/>
        <v>9.0744101633393826E-4</v>
      </c>
      <c r="Q9" s="3">
        <v>20</v>
      </c>
      <c r="R9" s="14">
        <f t="shared" si="6"/>
        <v>0.1206896551724138</v>
      </c>
      <c r="S9" s="3">
        <f t="shared" si="7"/>
        <v>2660</v>
      </c>
      <c r="T9" s="14">
        <f t="shared" si="8"/>
        <v>0.38203266787658802</v>
      </c>
      <c r="U9" s="5">
        <f t="shared" si="9"/>
        <v>8420</v>
      </c>
      <c r="V9" s="14">
        <f t="shared" si="10"/>
        <v>0.8210072595281307</v>
      </c>
      <c r="W9" s="5">
        <f t="shared" si="11"/>
        <v>18095</v>
      </c>
      <c r="X9" s="3">
        <v>105</v>
      </c>
    </row>
    <row r="10" spans="1:24">
      <c r="A10" t="s">
        <v>3</v>
      </c>
      <c r="B10" s="3" t="s">
        <v>14</v>
      </c>
      <c r="C10" s="10" t="s">
        <v>15</v>
      </c>
      <c r="D10" s="3" t="s">
        <v>67</v>
      </c>
      <c r="E10" s="4">
        <v>2737785</v>
      </c>
      <c r="F10" s="14">
        <f t="shared" si="0"/>
        <v>2.3659637261508847E-2</v>
      </c>
      <c r="G10" s="4">
        <v>64775</v>
      </c>
      <c r="H10" s="14">
        <f t="shared" si="1"/>
        <v>0.80257032601172118</v>
      </c>
      <c r="I10" s="4">
        <v>2197265</v>
      </c>
      <c r="J10" s="14">
        <f t="shared" si="2"/>
        <v>8.7636538296469585E-2</v>
      </c>
      <c r="K10" s="4">
        <v>239930</v>
      </c>
      <c r="L10" s="14">
        <f t="shared" si="3"/>
        <v>3.7786020450838909E-3</v>
      </c>
      <c r="M10" s="4">
        <v>10345</v>
      </c>
      <c r="N10" s="14">
        <f t="shared" si="4"/>
        <v>2.4008459393268646E-2</v>
      </c>
      <c r="O10" s="5">
        <v>65730</v>
      </c>
      <c r="P10" s="14">
        <f t="shared" si="5"/>
        <v>6.5016062254705904E-4</v>
      </c>
      <c r="Q10" s="4">
        <v>1780</v>
      </c>
      <c r="R10" s="14">
        <f t="shared" si="6"/>
        <v>0.11572493822560939</v>
      </c>
      <c r="S10" s="3">
        <f t="shared" si="7"/>
        <v>316830</v>
      </c>
      <c r="T10" s="14">
        <f t="shared" si="8"/>
        <v>0.13973339761887804</v>
      </c>
      <c r="U10" s="5">
        <f t="shared" si="9"/>
        <v>382560</v>
      </c>
      <c r="V10" s="14">
        <f t="shared" si="10"/>
        <v>0.82657878540498975</v>
      </c>
      <c r="W10" s="5">
        <f t="shared" si="11"/>
        <v>2262995</v>
      </c>
      <c r="X10" s="4">
        <v>14015</v>
      </c>
    </row>
    <row r="11" spans="1:24">
      <c r="A11" t="s">
        <v>3</v>
      </c>
      <c r="B11" s="3" t="s">
        <v>16</v>
      </c>
      <c r="C11" s="3" t="s">
        <v>5</v>
      </c>
      <c r="D11" s="3" t="s">
        <v>67</v>
      </c>
      <c r="E11" s="4">
        <v>85590</v>
      </c>
      <c r="F11" s="14">
        <f t="shared" si="0"/>
        <v>4.0892627643416286E-2</v>
      </c>
      <c r="G11" s="4">
        <v>3500</v>
      </c>
      <c r="H11" s="14">
        <f t="shared" si="1"/>
        <v>0.64598668068699616</v>
      </c>
      <c r="I11" s="4">
        <v>55290</v>
      </c>
      <c r="J11" s="14">
        <f t="shared" si="2"/>
        <v>0.11274681621684776</v>
      </c>
      <c r="K11" s="4">
        <v>9650</v>
      </c>
      <c r="L11" s="14">
        <f t="shared" si="3"/>
        <v>5.1407874751723329E-3</v>
      </c>
      <c r="M11" s="3">
        <v>440</v>
      </c>
      <c r="N11" s="14">
        <f t="shared" si="4"/>
        <v>0.1189391284028508</v>
      </c>
      <c r="O11" s="5">
        <v>10180</v>
      </c>
      <c r="P11" s="14">
        <f t="shared" si="5"/>
        <v>9.9310667134010992E-4</v>
      </c>
      <c r="Q11" s="3">
        <v>85</v>
      </c>
      <c r="R11" s="14">
        <f t="shared" si="6"/>
        <v>0.15977333800677648</v>
      </c>
      <c r="S11" s="3">
        <f t="shared" si="7"/>
        <v>13675</v>
      </c>
      <c r="T11" s="14">
        <f t="shared" si="8"/>
        <v>0.27871246640962727</v>
      </c>
      <c r="U11" s="5">
        <f t="shared" si="9"/>
        <v>23855</v>
      </c>
      <c r="V11" s="14">
        <f t="shared" si="10"/>
        <v>0.76492580908984698</v>
      </c>
      <c r="W11" s="5">
        <f t="shared" si="11"/>
        <v>65470</v>
      </c>
      <c r="X11" s="3">
        <v>835</v>
      </c>
    </row>
    <row r="12" spans="1:24">
      <c r="A12" t="s">
        <v>3</v>
      </c>
      <c r="B12" s="3" t="s">
        <v>17</v>
      </c>
      <c r="C12" s="3" t="s">
        <v>5</v>
      </c>
      <c r="D12" s="3" t="s">
        <v>67</v>
      </c>
      <c r="E12" s="4">
        <v>8405</v>
      </c>
      <c r="F12" s="14">
        <f t="shared" si="0"/>
        <v>1.9631171921475312E-2</v>
      </c>
      <c r="G12" s="3">
        <v>165</v>
      </c>
      <c r="H12" s="14">
        <f t="shared" si="1"/>
        <v>0.74122546103509812</v>
      </c>
      <c r="I12" s="4">
        <v>6230</v>
      </c>
      <c r="J12" s="14">
        <f t="shared" si="2"/>
        <v>6.7221891731112426E-2</v>
      </c>
      <c r="K12" s="3">
        <v>565</v>
      </c>
      <c r="L12" s="14">
        <f t="shared" si="3"/>
        <v>5.353955978584176E-3</v>
      </c>
      <c r="M12" s="3">
        <v>45</v>
      </c>
      <c r="N12" s="14">
        <f t="shared" si="4"/>
        <v>0.12790005948839978</v>
      </c>
      <c r="O12" s="5">
        <v>1075</v>
      </c>
      <c r="P12" s="14">
        <f t="shared" si="5"/>
        <v>4.7590719809637123E-3</v>
      </c>
      <c r="Q12" s="3">
        <v>40</v>
      </c>
      <c r="R12" s="14">
        <f t="shared" si="6"/>
        <v>9.6966091612135638E-2</v>
      </c>
      <c r="S12" s="3">
        <f t="shared" si="7"/>
        <v>815</v>
      </c>
      <c r="T12" s="14">
        <f t="shared" si="8"/>
        <v>0.2248661511005354</v>
      </c>
      <c r="U12" s="5">
        <f t="shared" si="9"/>
        <v>1890</v>
      </c>
      <c r="V12" s="14">
        <f t="shared" si="10"/>
        <v>0.8691255205234979</v>
      </c>
      <c r="W12" s="5">
        <f t="shared" si="11"/>
        <v>7305</v>
      </c>
      <c r="X12" s="3">
        <v>80</v>
      </c>
    </row>
    <row r="13" spans="1:24">
      <c r="A13" t="s">
        <v>3</v>
      </c>
      <c r="B13" s="3" t="s">
        <v>18</v>
      </c>
      <c r="C13" s="3" t="s">
        <v>19</v>
      </c>
      <c r="D13" s="3" t="s">
        <v>67</v>
      </c>
      <c r="E13" s="4">
        <v>714640</v>
      </c>
      <c r="F13" s="14">
        <f t="shared" si="0"/>
        <v>5.3705362140378375E-2</v>
      </c>
      <c r="G13" s="4">
        <v>38380</v>
      </c>
      <c r="H13" s="14">
        <f t="shared" si="1"/>
        <v>0.69187283107578645</v>
      </c>
      <c r="I13" s="4">
        <v>494440</v>
      </c>
      <c r="J13" s="14">
        <f t="shared" si="2"/>
        <v>0.11170659352960931</v>
      </c>
      <c r="K13" s="4">
        <v>79830</v>
      </c>
      <c r="L13" s="14">
        <f t="shared" si="3"/>
        <v>3.7851225792007166E-3</v>
      </c>
      <c r="M13" s="4">
        <v>2705</v>
      </c>
      <c r="N13" s="14">
        <f t="shared" si="4"/>
        <v>5.1312548975708049E-2</v>
      </c>
      <c r="O13" s="5">
        <v>36670</v>
      </c>
      <c r="P13" s="14">
        <f t="shared" si="5"/>
        <v>4.7576402104556139E-4</v>
      </c>
      <c r="Q13" s="3">
        <v>340</v>
      </c>
      <c r="R13" s="14">
        <f t="shared" si="6"/>
        <v>0.16967284227023396</v>
      </c>
      <c r="S13" s="3">
        <f t="shared" si="7"/>
        <v>121255</v>
      </c>
      <c r="T13" s="14">
        <f t="shared" si="8"/>
        <v>0.22098539124594202</v>
      </c>
      <c r="U13" s="5">
        <f t="shared" si="9"/>
        <v>157925</v>
      </c>
      <c r="V13" s="14">
        <f t="shared" si="10"/>
        <v>0.74318538005149448</v>
      </c>
      <c r="W13" s="5">
        <f t="shared" si="11"/>
        <v>531110</v>
      </c>
      <c r="X13" s="4">
        <v>4645</v>
      </c>
    </row>
    <row r="14" spans="1:24">
      <c r="A14" t="s">
        <v>3</v>
      </c>
      <c r="B14" s="3" t="s">
        <v>20</v>
      </c>
      <c r="C14" s="10" t="s">
        <v>5</v>
      </c>
      <c r="D14" s="3" t="s">
        <v>67</v>
      </c>
      <c r="E14" s="4">
        <v>33355</v>
      </c>
      <c r="F14" s="14">
        <f t="shared" si="0"/>
        <v>2.8181681906760604E-2</v>
      </c>
      <c r="G14" s="3">
        <v>940</v>
      </c>
      <c r="H14" s="14">
        <f t="shared" si="1"/>
        <v>0.71488532453904963</v>
      </c>
      <c r="I14" s="4">
        <v>23845</v>
      </c>
      <c r="J14" s="14">
        <f t="shared" si="2"/>
        <v>6.895517913356318E-2</v>
      </c>
      <c r="K14" s="4">
        <v>2300</v>
      </c>
      <c r="L14" s="14">
        <f t="shared" si="3"/>
        <v>1.0493179433368311E-3</v>
      </c>
      <c r="M14" s="3">
        <v>35</v>
      </c>
      <c r="N14" s="14">
        <f t="shared" si="4"/>
        <v>0.14180782491380603</v>
      </c>
      <c r="O14" s="5">
        <v>4730</v>
      </c>
      <c r="P14" s="14">
        <f t="shared" si="5"/>
        <v>1.9487333233398291E-3</v>
      </c>
      <c r="Q14" s="3">
        <v>65</v>
      </c>
      <c r="R14" s="14">
        <f t="shared" si="6"/>
        <v>0.10013491230700045</v>
      </c>
      <c r="S14" s="3">
        <f t="shared" si="7"/>
        <v>3340</v>
      </c>
      <c r="T14" s="14">
        <f t="shared" si="8"/>
        <v>0.24194273722080648</v>
      </c>
      <c r="U14" s="5">
        <f t="shared" si="9"/>
        <v>8070</v>
      </c>
      <c r="V14" s="14">
        <f t="shared" si="10"/>
        <v>0.85669314945285568</v>
      </c>
      <c r="W14" s="5">
        <f t="shared" si="11"/>
        <v>28575</v>
      </c>
      <c r="X14" s="3">
        <v>195</v>
      </c>
    </row>
    <row r="15" spans="1:24">
      <c r="A15" t="s">
        <v>3</v>
      </c>
      <c r="B15" s="3" t="s">
        <v>21</v>
      </c>
      <c r="C15" s="3" t="s">
        <v>5</v>
      </c>
      <c r="D15" s="3" t="s">
        <v>67</v>
      </c>
      <c r="E15" s="3">
        <v>920</v>
      </c>
      <c r="F15" s="14">
        <f t="shared" si="0"/>
        <v>0</v>
      </c>
      <c r="G15" s="3">
        <v>0</v>
      </c>
      <c r="H15" s="14">
        <f t="shared" si="1"/>
        <v>0.79347826086956519</v>
      </c>
      <c r="I15" s="3">
        <v>730</v>
      </c>
      <c r="J15" s="14">
        <f t="shared" si="2"/>
        <v>8.6956521739130432E-2</v>
      </c>
      <c r="K15" s="3">
        <v>80</v>
      </c>
      <c r="L15" s="14">
        <f t="shared" si="3"/>
        <v>0</v>
      </c>
      <c r="M15" s="3">
        <v>0</v>
      </c>
      <c r="N15" s="14">
        <f t="shared" si="4"/>
        <v>9.7826086956521743E-2</v>
      </c>
      <c r="O15" s="5">
        <v>90</v>
      </c>
      <c r="P15" s="14">
        <f t="shared" si="5"/>
        <v>0</v>
      </c>
      <c r="Q15" s="3">
        <v>0</v>
      </c>
      <c r="R15" s="14">
        <f t="shared" si="6"/>
        <v>8.6956521739130432E-2</v>
      </c>
      <c r="S15" s="3">
        <f t="shared" si="7"/>
        <v>80</v>
      </c>
      <c r="T15" s="14">
        <f t="shared" si="8"/>
        <v>0.18478260869565216</v>
      </c>
      <c r="U15" s="5">
        <f t="shared" si="9"/>
        <v>170</v>
      </c>
      <c r="V15" s="14">
        <f t="shared" si="10"/>
        <v>0.89130434782608692</v>
      </c>
      <c r="W15" s="5">
        <f t="shared" si="11"/>
        <v>820</v>
      </c>
      <c r="X15" s="3">
        <v>0</v>
      </c>
    </row>
    <row r="16" spans="1:24">
      <c r="A16" t="s">
        <v>3</v>
      </c>
      <c r="B16" s="3" t="s">
        <v>22</v>
      </c>
      <c r="C16" s="3" t="s">
        <v>5</v>
      </c>
      <c r="D16" s="3" t="s">
        <v>67</v>
      </c>
      <c r="E16" s="4">
        <v>3955</v>
      </c>
      <c r="F16" s="14">
        <f t="shared" si="0"/>
        <v>2.6548672566371681E-2</v>
      </c>
      <c r="G16" s="3">
        <v>105</v>
      </c>
      <c r="H16" s="14">
        <f t="shared" si="1"/>
        <v>0.64728192161820486</v>
      </c>
      <c r="I16" s="4">
        <v>2560</v>
      </c>
      <c r="J16" s="14">
        <f t="shared" si="2"/>
        <v>4.1719342604298354E-2</v>
      </c>
      <c r="K16" s="3">
        <v>165</v>
      </c>
      <c r="L16" s="14">
        <f t="shared" si="3"/>
        <v>5.0568900126422255E-3</v>
      </c>
      <c r="M16" s="3">
        <v>20</v>
      </c>
      <c r="N16" s="14">
        <f t="shared" si="4"/>
        <v>0.24020227560050569</v>
      </c>
      <c r="O16" s="5">
        <v>950</v>
      </c>
      <c r="P16" s="14">
        <f t="shared" si="5"/>
        <v>0</v>
      </c>
      <c r="Q16" s="3">
        <v>0</v>
      </c>
      <c r="R16" s="14">
        <f t="shared" si="6"/>
        <v>7.3324905183312264E-2</v>
      </c>
      <c r="S16" s="3">
        <f t="shared" si="7"/>
        <v>290</v>
      </c>
      <c r="T16" s="14">
        <f t="shared" si="8"/>
        <v>0.31352718078381797</v>
      </c>
      <c r="U16" s="5">
        <f t="shared" si="9"/>
        <v>1240</v>
      </c>
      <c r="V16" s="14">
        <f t="shared" si="10"/>
        <v>0.88748419721871052</v>
      </c>
      <c r="W16" s="5">
        <f t="shared" si="11"/>
        <v>3510</v>
      </c>
      <c r="X16" s="3">
        <v>15</v>
      </c>
    </row>
    <row r="17" spans="1:24">
      <c r="A17" t="s">
        <v>3</v>
      </c>
      <c r="B17" s="3" t="s">
        <v>23</v>
      </c>
      <c r="C17" s="3" t="s">
        <v>5</v>
      </c>
      <c r="D17" s="3" t="s">
        <v>67</v>
      </c>
      <c r="E17" s="4">
        <v>17530</v>
      </c>
      <c r="F17" s="14">
        <f t="shared" si="0"/>
        <v>2.4529378208784942E-2</v>
      </c>
      <c r="G17" s="3">
        <v>430</v>
      </c>
      <c r="H17" s="14">
        <f t="shared" si="1"/>
        <v>0.73930405019965773</v>
      </c>
      <c r="I17" s="4">
        <v>12960</v>
      </c>
      <c r="J17" s="14">
        <f t="shared" si="2"/>
        <v>5.7615516257843696E-2</v>
      </c>
      <c r="K17" s="4">
        <v>1010</v>
      </c>
      <c r="L17" s="14">
        <f t="shared" si="3"/>
        <v>1.9965772960638907E-3</v>
      </c>
      <c r="M17" s="3">
        <v>35</v>
      </c>
      <c r="N17" s="14">
        <f t="shared" si="4"/>
        <v>0.12977752424415287</v>
      </c>
      <c r="O17" s="5">
        <v>2275</v>
      </c>
      <c r="P17" s="14">
        <f t="shared" si="5"/>
        <v>0</v>
      </c>
      <c r="Q17" s="3">
        <v>0</v>
      </c>
      <c r="R17" s="14">
        <f t="shared" si="6"/>
        <v>8.414147176269253E-2</v>
      </c>
      <c r="S17" s="3">
        <f t="shared" si="7"/>
        <v>1475</v>
      </c>
      <c r="T17" s="14">
        <f t="shared" si="8"/>
        <v>0.21391899600684541</v>
      </c>
      <c r="U17" s="5">
        <f t="shared" si="9"/>
        <v>3750</v>
      </c>
      <c r="V17" s="14">
        <f t="shared" si="10"/>
        <v>0.86908157444381062</v>
      </c>
      <c r="W17" s="5">
        <f t="shared" si="11"/>
        <v>15235</v>
      </c>
      <c r="X17" s="3">
        <v>130</v>
      </c>
    </row>
    <row r="18" spans="1:24">
      <c r="A18" t="s">
        <v>3</v>
      </c>
      <c r="B18" s="3" t="s">
        <v>24</v>
      </c>
      <c r="C18" s="3" t="s">
        <v>11</v>
      </c>
      <c r="D18" s="3" t="s">
        <v>67</v>
      </c>
      <c r="E18" s="4">
        <v>55130</v>
      </c>
      <c r="F18" s="14">
        <f t="shared" si="0"/>
        <v>5.5686559042263738E-2</v>
      </c>
      <c r="G18" s="4">
        <v>3070</v>
      </c>
      <c r="H18" s="14">
        <f t="shared" si="1"/>
        <v>0.61228006530019952</v>
      </c>
      <c r="I18" s="4">
        <v>33755</v>
      </c>
      <c r="J18" s="14">
        <f t="shared" si="2"/>
        <v>0.1948122619263559</v>
      </c>
      <c r="K18" s="4">
        <v>10740</v>
      </c>
      <c r="L18" s="14">
        <f t="shared" si="3"/>
        <v>1.6325049882096862E-2</v>
      </c>
      <c r="M18" s="3">
        <v>900</v>
      </c>
      <c r="N18" s="14">
        <f t="shared" si="4"/>
        <v>3.2831489207328132E-2</v>
      </c>
      <c r="O18" s="5">
        <v>1810</v>
      </c>
      <c r="P18" s="14">
        <f t="shared" si="5"/>
        <v>1.3604208235080718E-3</v>
      </c>
      <c r="Q18" s="3">
        <v>75</v>
      </c>
      <c r="R18" s="14">
        <f t="shared" si="6"/>
        <v>0.26818429167422458</v>
      </c>
      <c r="S18" s="3">
        <f t="shared" si="7"/>
        <v>14785</v>
      </c>
      <c r="T18" s="14">
        <f t="shared" si="8"/>
        <v>0.30101578088155267</v>
      </c>
      <c r="U18" s="5">
        <f t="shared" si="9"/>
        <v>16595</v>
      </c>
      <c r="V18" s="14">
        <f t="shared" si="10"/>
        <v>0.64511155450752766</v>
      </c>
      <c r="W18" s="5">
        <f t="shared" si="11"/>
        <v>35565</v>
      </c>
      <c r="X18" s="3">
        <v>580</v>
      </c>
    </row>
    <row r="19" spans="1:24">
      <c r="A19" t="s">
        <v>3</v>
      </c>
      <c r="B19" s="3" t="s">
        <v>25</v>
      </c>
      <c r="C19" s="3" t="s">
        <v>5</v>
      </c>
      <c r="D19" s="3" t="s">
        <v>67</v>
      </c>
      <c r="E19" s="4">
        <v>55520</v>
      </c>
      <c r="F19" s="14">
        <f t="shared" si="0"/>
        <v>1.9722622478386166E-2</v>
      </c>
      <c r="G19" s="4">
        <v>1095</v>
      </c>
      <c r="H19" s="14">
        <f t="shared" si="1"/>
        <v>0.63130403458213258</v>
      </c>
      <c r="I19" s="4">
        <v>35050</v>
      </c>
      <c r="J19" s="14">
        <f t="shared" si="2"/>
        <v>7.3306916426512964E-2</v>
      </c>
      <c r="K19" s="4">
        <v>4070</v>
      </c>
      <c r="L19" s="14">
        <f t="shared" si="3"/>
        <v>3.7824207492795389E-3</v>
      </c>
      <c r="M19" s="3">
        <v>210</v>
      </c>
      <c r="N19" s="14">
        <f t="shared" si="4"/>
        <v>0.21379682997118155</v>
      </c>
      <c r="O19" s="5">
        <v>11870</v>
      </c>
      <c r="P19" s="14">
        <f t="shared" si="5"/>
        <v>1.6210374639769453E-3</v>
      </c>
      <c r="Q19" s="3">
        <v>90</v>
      </c>
      <c r="R19" s="14">
        <f t="shared" si="6"/>
        <v>9.8432997118155618E-2</v>
      </c>
      <c r="S19" s="3">
        <f t="shared" si="7"/>
        <v>5465</v>
      </c>
      <c r="T19" s="14">
        <f t="shared" si="8"/>
        <v>0.31222982708933716</v>
      </c>
      <c r="U19" s="5">
        <f t="shared" si="9"/>
        <v>17335</v>
      </c>
      <c r="V19" s="14">
        <f t="shared" si="10"/>
        <v>0.84510086455331412</v>
      </c>
      <c r="W19" s="5">
        <f t="shared" si="11"/>
        <v>46920</v>
      </c>
      <c r="X19" s="3">
        <v>294</v>
      </c>
    </row>
    <row r="20" spans="1:24">
      <c r="A20" t="s">
        <v>3</v>
      </c>
      <c r="B20" s="3" t="s">
        <v>26</v>
      </c>
      <c r="C20" s="3" t="s">
        <v>27</v>
      </c>
      <c r="D20" s="3" t="s">
        <v>67</v>
      </c>
      <c r="E20" s="4">
        <v>13335</v>
      </c>
      <c r="F20" s="14">
        <f t="shared" si="0"/>
        <v>1.2748406449193851E-2</v>
      </c>
      <c r="G20" s="3">
        <v>170</v>
      </c>
      <c r="H20" s="14">
        <f t="shared" si="1"/>
        <v>0.88601424821897268</v>
      </c>
      <c r="I20" s="4">
        <v>11815</v>
      </c>
      <c r="J20" s="14">
        <f t="shared" si="2"/>
        <v>3.637045369328834E-2</v>
      </c>
      <c r="K20" s="3">
        <v>485</v>
      </c>
      <c r="L20" s="14">
        <f t="shared" si="3"/>
        <v>0</v>
      </c>
      <c r="M20" s="3">
        <v>0</v>
      </c>
      <c r="N20" s="14">
        <f t="shared" si="4"/>
        <v>4.2369703787026619E-2</v>
      </c>
      <c r="O20" s="5">
        <v>565</v>
      </c>
      <c r="P20" s="14">
        <f t="shared" si="5"/>
        <v>0</v>
      </c>
      <c r="Q20" s="3">
        <v>0</v>
      </c>
      <c r="R20" s="14">
        <f t="shared" si="6"/>
        <v>4.9118860142482193E-2</v>
      </c>
      <c r="S20" s="3">
        <f t="shared" si="7"/>
        <v>655</v>
      </c>
      <c r="T20" s="14">
        <f t="shared" si="8"/>
        <v>9.1488563929508812E-2</v>
      </c>
      <c r="U20" s="5">
        <f t="shared" si="9"/>
        <v>1220</v>
      </c>
      <c r="V20" s="14">
        <f t="shared" si="10"/>
        <v>0.92838395200599921</v>
      </c>
      <c r="W20" s="5">
        <f t="shared" si="11"/>
        <v>12380</v>
      </c>
      <c r="X20" s="3">
        <v>60</v>
      </c>
    </row>
    <row r="21" spans="1:24">
      <c r="A21" t="s">
        <v>3</v>
      </c>
      <c r="B21" s="3" t="s">
        <v>28</v>
      </c>
      <c r="C21" s="3" t="s">
        <v>27</v>
      </c>
      <c r="D21" s="3" t="s">
        <v>67</v>
      </c>
      <c r="E21" s="4">
        <v>75865</v>
      </c>
      <c r="F21" s="14">
        <f t="shared" si="0"/>
        <v>8.8973835101825612E-3</v>
      </c>
      <c r="G21" s="3">
        <v>675</v>
      </c>
      <c r="H21" s="14">
        <f t="shared" si="1"/>
        <v>0.85895999472747642</v>
      </c>
      <c r="I21" s="4">
        <v>65165</v>
      </c>
      <c r="J21" s="14">
        <f t="shared" si="2"/>
        <v>4.7650431687866604E-2</v>
      </c>
      <c r="K21" s="4">
        <v>3615</v>
      </c>
      <c r="L21" s="14">
        <f t="shared" si="3"/>
        <v>8.5678507875832071E-4</v>
      </c>
      <c r="M21" s="3">
        <v>65</v>
      </c>
      <c r="N21" s="14">
        <f t="shared" si="4"/>
        <v>4.6727740064588415E-2</v>
      </c>
      <c r="O21" s="5">
        <v>3545</v>
      </c>
      <c r="P21" s="14">
        <f t="shared" si="5"/>
        <v>1.3181308903974164E-4</v>
      </c>
      <c r="Q21" s="3">
        <v>10</v>
      </c>
      <c r="R21" s="14">
        <f t="shared" si="6"/>
        <v>5.7536413365847229E-2</v>
      </c>
      <c r="S21" s="3">
        <f t="shared" si="7"/>
        <v>4365</v>
      </c>
      <c r="T21" s="14">
        <f t="shared" si="8"/>
        <v>0.10426415343043564</v>
      </c>
      <c r="U21" s="5">
        <f t="shared" si="9"/>
        <v>7910</v>
      </c>
      <c r="V21" s="14">
        <f t="shared" si="10"/>
        <v>0.90568773479206488</v>
      </c>
      <c r="W21" s="5">
        <f t="shared" si="11"/>
        <v>68710</v>
      </c>
      <c r="X21" s="3">
        <v>395</v>
      </c>
    </row>
    <row r="22" spans="1:24">
      <c r="A22" t="s">
        <v>3</v>
      </c>
      <c r="B22" s="3" t="s">
        <v>29</v>
      </c>
      <c r="C22" s="3" t="s">
        <v>15</v>
      </c>
      <c r="D22" s="3" t="s">
        <v>67</v>
      </c>
      <c r="E22" s="4">
        <v>536940</v>
      </c>
      <c r="F22" s="14">
        <f t="shared" si="0"/>
        <v>3.4845606585465788E-2</v>
      </c>
      <c r="G22" s="4">
        <v>18710</v>
      </c>
      <c r="H22" s="14">
        <f t="shared" si="1"/>
        <v>0.7225947033188066</v>
      </c>
      <c r="I22" s="4">
        <v>387990</v>
      </c>
      <c r="J22" s="14">
        <f t="shared" si="2"/>
        <v>0.10767497299512049</v>
      </c>
      <c r="K22" s="4">
        <v>57815</v>
      </c>
      <c r="L22" s="14">
        <f t="shared" si="3"/>
        <v>6.1738741758855737E-3</v>
      </c>
      <c r="M22" s="4">
        <v>3315</v>
      </c>
      <c r="N22" s="14">
        <f t="shared" si="4"/>
        <v>5.9634223563154169E-2</v>
      </c>
      <c r="O22" s="5">
        <v>32020</v>
      </c>
      <c r="P22" s="14">
        <f t="shared" si="5"/>
        <v>1.536484523410437E-3</v>
      </c>
      <c r="Q22" s="3">
        <v>825</v>
      </c>
      <c r="R22" s="14">
        <f t="shared" si="6"/>
        <v>0.15023093827988229</v>
      </c>
      <c r="S22" s="3">
        <f t="shared" si="7"/>
        <v>80665</v>
      </c>
      <c r="T22" s="14">
        <f t="shared" si="8"/>
        <v>0.20986516184303647</v>
      </c>
      <c r="U22" s="5">
        <f t="shared" si="9"/>
        <v>112685</v>
      </c>
      <c r="V22" s="14">
        <f t="shared" si="10"/>
        <v>0.78222892688196077</v>
      </c>
      <c r="W22" s="5">
        <f t="shared" si="11"/>
        <v>420010</v>
      </c>
      <c r="X22" s="4">
        <v>5015</v>
      </c>
    </row>
    <row r="23" spans="1:24">
      <c r="A23" t="s">
        <v>3</v>
      </c>
      <c r="B23" s="3" t="s">
        <v>30</v>
      </c>
      <c r="C23" s="3" t="s">
        <v>5</v>
      </c>
      <c r="D23" s="3" t="s">
        <v>67</v>
      </c>
      <c r="E23" s="4">
        <v>3080</v>
      </c>
      <c r="F23" s="14">
        <f t="shared" si="0"/>
        <v>3.5714285714285712E-2</v>
      </c>
      <c r="G23" s="3">
        <v>110</v>
      </c>
      <c r="H23" s="14">
        <f t="shared" si="1"/>
        <v>0.65422077922077926</v>
      </c>
      <c r="I23" s="4">
        <v>2015</v>
      </c>
      <c r="J23" s="14">
        <f t="shared" si="2"/>
        <v>5.3571428571428568E-2</v>
      </c>
      <c r="K23" s="3">
        <v>165</v>
      </c>
      <c r="L23" s="14">
        <f t="shared" si="3"/>
        <v>9.74025974025974E-3</v>
      </c>
      <c r="M23" s="3">
        <v>30</v>
      </c>
      <c r="N23" s="14">
        <f t="shared" si="4"/>
        <v>0.16233766233766234</v>
      </c>
      <c r="O23" s="5">
        <v>500</v>
      </c>
      <c r="P23" s="14">
        <f t="shared" si="5"/>
        <v>0</v>
      </c>
      <c r="Q23" s="3">
        <v>0</v>
      </c>
      <c r="R23" s="14">
        <f t="shared" si="6"/>
        <v>9.9025974025974031E-2</v>
      </c>
      <c r="S23" s="3">
        <f t="shared" si="7"/>
        <v>305</v>
      </c>
      <c r="T23" s="14">
        <f t="shared" si="8"/>
        <v>0.26136363636363635</v>
      </c>
      <c r="U23" s="5">
        <f t="shared" si="9"/>
        <v>805</v>
      </c>
      <c r="V23" s="14">
        <f t="shared" si="10"/>
        <v>0.81655844155844159</v>
      </c>
      <c r="W23" s="5">
        <f t="shared" si="11"/>
        <v>2515</v>
      </c>
      <c r="X23" s="3">
        <v>10</v>
      </c>
    </row>
    <row r="24" spans="1:24">
      <c r="A24" t="s">
        <v>3</v>
      </c>
      <c r="B24" s="3" t="s">
        <v>31</v>
      </c>
      <c r="C24" s="3" t="s">
        <v>15</v>
      </c>
      <c r="D24" s="3" t="s">
        <v>67</v>
      </c>
      <c r="E24" s="4">
        <v>576760</v>
      </c>
      <c r="F24" s="14">
        <f t="shared" si="0"/>
        <v>4.4697967958943062E-2</v>
      </c>
      <c r="G24" s="4">
        <v>25780</v>
      </c>
      <c r="H24" s="14">
        <f t="shared" si="1"/>
        <v>0.67239406338858454</v>
      </c>
      <c r="I24" s="4">
        <v>387810</v>
      </c>
      <c r="J24" s="14">
        <f t="shared" si="2"/>
        <v>0.1594077259171926</v>
      </c>
      <c r="K24" s="4">
        <v>91940</v>
      </c>
      <c r="L24" s="14">
        <f t="shared" si="3"/>
        <v>7.5681392606976906E-3</v>
      </c>
      <c r="M24" s="4">
        <v>4365</v>
      </c>
      <c r="N24" s="14">
        <f t="shared" si="4"/>
        <v>3.0515292322629863E-2</v>
      </c>
      <c r="O24" s="5">
        <v>17600</v>
      </c>
      <c r="P24" s="14">
        <f t="shared" si="5"/>
        <v>1.2310146334697275E-3</v>
      </c>
      <c r="Q24" s="3">
        <v>710</v>
      </c>
      <c r="R24" s="14">
        <f t="shared" si="6"/>
        <v>0.21290484777030308</v>
      </c>
      <c r="S24" s="3">
        <f t="shared" si="7"/>
        <v>122795</v>
      </c>
      <c r="T24" s="14">
        <f t="shared" si="8"/>
        <v>0.24342014009293295</v>
      </c>
      <c r="U24" s="5">
        <f t="shared" si="9"/>
        <v>140395</v>
      </c>
      <c r="V24" s="14">
        <f t="shared" si="10"/>
        <v>0.70290935571121438</v>
      </c>
      <c r="W24" s="5">
        <f t="shared" si="11"/>
        <v>405410</v>
      </c>
      <c r="X24" s="4">
        <v>3885</v>
      </c>
    </row>
    <row r="25" spans="1:24">
      <c r="A25" t="s">
        <v>3</v>
      </c>
      <c r="B25" s="3" t="s">
        <v>32</v>
      </c>
      <c r="C25" s="3" t="s">
        <v>11</v>
      </c>
      <c r="D25" s="3" t="s">
        <v>67</v>
      </c>
      <c r="E25" s="4">
        <v>122950</v>
      </c>
      <c r="F25" s="14">
        <f t="shared" si="0"/>
        <v>1.6714111427409518E-2</v>
      </c>
      <c r="G25" s="4">
        <v>2055</v>
      </c>
      <c r="H25" s="14">
        <f t="shared" si="1"/>
        <v>0.85079300528670188</v>
      </c>
      <c r="I25" s="4">
        <v>104605</v>
      </c>
      <c r="J25" s="14">
        <f t="shared" si="2"/>
        <v>4.8596990646604311E-2</v>
      </c>
      <c r="K25" s="4">
        <v>5975</v>
      </c>
      <c r="L25" s="14">
        <f t="shared" si="3"/>
        <v>2.6026840178934524E-3</v>
      </c>
      <c r="M25" s="3">
        <v>320</v>
      </c>
      <c r="N25" s="14">
        <f t="shared" si="4"/>
        <v>3.1150874339162263E-2</v>
      </c>
      <c r="O25" s="5">
        <v>3830</v>
      </c>
      <c r="P25" s="14">
        <f t="shared" si="5"/>
        <v>2.8466856445709637E-4</v>
      </c>
      <c r="Q25" s="3">
        <v>35</v>
      </c>
      <c r="R25" s="14">
        <f t="shared" si="6"/>
        <v>6.8198454656364371E-2</v>
      </c>
      <c r="S25" s="3">
        <f t="shared" si="7"/>
        <v>8385</v>
      </c>
      <c r="T25" s="14">
        <f t="shared" si="8"/>
        <v>9.9349328995526634E-2</v>
      </c>
      <c r="U25" s="5">
        <f t="shared" si="9"/>
        <v>12215</v>
      </c>
      <c r="V25" s="14">
        <f t="shared" si="10"/>
        <v>0.88194387962586418</v>
      </c>
      <c r="W25" s="5">
        <f t="shared" si="11"/>
        <v>108435</v>
      </c>
      <c r="X25" s="3">
        <v>770</v>
      </c>
    </row>
    <row r="26" spans="1:24">
      <c r="A26" t="s">
        <v>3</v>
      </c>
      <c r="B26" s="3" t="s">
        <v>33</v>
      </c>
      <c r="C26" s="3" t="s">
        <v>27</v>
      </c>
      <c r="D26" s="3" t="s">
        <v>67</v>
      </c>
      <c r="E26" s="4">
        <v>2408225</v>
      </c>
      <c r="F26" s="14">
        <f t="shared" si="0"/>
        <v>1.4606193358178742E-2</v>
      </c>
      <c r="G26" s="4">
        <v>35175</v>
      </c>
      <c r="H26" s="14">
        <f t="shared" si="1"/>
        <v>0.76404198112717869</v>
      </c>
      <c r="I26" s="4">
        <v>1839985</v>
      </c>
      <c r="J26" s="14">
        <f t="shared" si="2"/>
        <v>9.939270624630174E-2</v>
      </c>
      <c r="K26" s="4">
        <v>239360</v>
      </c>
      <c r="L26" s="14">
        <f t="shared" si="3"/>
        <v>3.8534605362870993E-3</v>
      </c>
      <c r="M26" s="4">
        <v>9280</v>
      </c>
      <c r="N26" s="14">
        <f t="shared" si="4"/>
        <v>7.8634679068608618E-2</v>
      </c>
      <c r="O26" s="5">
        <v>189370</v>
      </c>
      <c r="P26" s="14">
        <f t="shared" si="5"/>
        <v>8.0142013308557127E-4</v>
      </c>
      <c r="Q26" s="4">
        <v>1930</v>
      </c>
      <c r="R26" s="14">
        <f t="shared" si="6"/>
        <v>0.11865378027385315</v>
      </c>
      <c r="S26" s="3">
        <f t="shared" si="7"/>
        <v>285745</v>
      </c>
      <c r="T26" s="14">
        <f t="shared" si="8"/>
        <v>0.19728845934246178</v>
      </c>
      <c r="U26" s="5">
        <f t="shared" si="9"/>
        <v>475115</v>
      </c>
      <c r="V26" s="14">
        <f t="shared" si="10"/>
        <v>0.84267666019578735</v>
      </c>
      <c r="W26" s="5">
        <f t="shared" si="11"/>
        <v>2029355</v>
      </c>
      <c r="X26" s="4">
        <v>12150</v>
      </c>
    </row>
    <row r="27" spans="1:24">
      <c r="A27" t="s">
        <v>3</v>
      </c>
      <c r="B27" s="3" t="s">
        <v>34</v>
      </c>
      <c r="C27" s="3" t="s">
        <v>15</v>
      </c>
      <c r="D27" s="3" t="s">
        <v>67</v>
      </c>
      <c r="E27" s="4">
        <v>476390</v>
      </c>
      <c r="F27" s="14">
        <f t="shared" si="0"/>
        <v>2.6847750792417979E-2</v>
      </c>
      <c r="G27" s="4">
        <v>12790</v>
      </c>
      <c r="H27" s="14">
        <f t="shared" si="1"/>
        <v>0.79816956695144736</v>
      </c>
      <c r="I27" s="4">
        <v>380240</v>
      </c>
      <c r="J27" s="14">
        <f t="shared" si="2"/>
        <v>8.1162492915468412E-2</v>
      </c>
      <c r="K27" s="4">
        <v>38665</v>
      </c>
      <c r="L27" s="14">
        <f t="shared" si="3"/>
        <v>4.4081529838997458E-3</v>
      </c>
      <c r="M27" s="4">
        <v>2100</v>
      </c>
      <c r="N27" s="14">
        <f t="shared" si="4"/>
        <v>2.6585360733852516E-2</v>
      </c>
      <c r="O27" s="5">
        <v>12665</v>
      </c>
      <c r="P27" s="14">
        <f t="shared" si="5"/>
        <v>6.4023174289972503E-4</v>
      </c>
      <c r="Q27" s="3">
        <v>305</v>
      </c>
      <c r="R27" s="14">
        <f t="shared" si="6"/>
        <v>0.11305862843468586</v>
      </c>
      <c r="S27" s="3">
        <f t="shared" si="7"/>
        <v>53860</v>
      </c>
      <c r="T27" s="14">
        <f t="shared" si="8"/>
        <v>0.13964398916853837</v>
      </c>
      <c r="U27" s="5">
        <f t="shared" si="9"/>
        <v>66525</v>
      </c>
      <c r="V27" s="14">
        <f t="shared" si="10"/>
        <v>0.8247549276852999</v>
      </c>
      <c r="W27" s="5">
        <f t="shared" si="11"/>
        <v>392905</v>
      </c>
      <c r="X27" s="3">
        <v>3045</v>
      </c>
    </row>
    <row r="28" spans="1:24">
      <c r="A28" t="s">
        <v>3</v>
      </c>
      <c r="B28" s="3" t="s">
        <v>35</v>
      </c>
      <c r="C28" s="3" t="s">
        <v>11</v>
      </c>
      <c r="D28" s="3" t="s">
        <v>67</v>
      </c>
      <c r="E28" s="4">
        <v>118935</v>
      </c>
      <c r="F28" s="14">
        <f t="shared" si="0"/>
        <v>6.5792239458527774E-2</v>
      </c>
      <c r="G28" s="4">
        <v>7825</v>
      </c>
      <c r="H28" s="14">
        <f t="shared" si="1"/>
        <v>0.56081052675831333</v>
      </c>
      <c r="I28" s="4">
        <v>66700</v>
      </c>
      <c r="J28" s="14">
        <f t="shared" si="2"/>
        <v>0.23197544877454071</v>
      </c>
      <c r="K28" s="4">
        <v>27590</v>
      </c>
      <c r="L28" s="14">
        <f t="shared" si="3"/>
        <v>1.378904443603649E-2</v>
      </c>
      <c r="M28" s="4">
        <v>1640</v>
      </c>
      <c r="N28" s="14">
        <f t="shared" si="4"/>
        <v>2.7157691175852355E-2</v>
      </c>
      <c r="O28" s="5">
        <v>3230</v>
      </c>
      <c r="P28" s="14">
        <f t="shared" si="5"/>
        <v>1.3873123975280616E-3</v>
      </c>
      <c r="Q28" s="3">
        <v>165</v>
      </c>
      <c r="R28" s="14">
        <f t="shared" si="6"/>
        <v>0.31294404506663304</v>
      </c>
      <c r="S28" s="3">
        <f t="shared" si="7"/>
        <v>37220</v>
      </c>
      <c r="T28" s="14">
        <f t="shared" si="8"/>
        <v>0.34010173624248541</v>
      </c>
      <c r="U28" s="5">
        <f t="shared" si="9"/>
        <v>40450</v>
      </c>
      <c r="V28" s="14">
        <f t="shared" si="10"/>
        <v>0.58796821793416576</v>
      </c>
      <c r="W28" s="5">
        <f t="shared" si="11"/>
        <v>69930</v>
      </c>
      <c r="X28" s="3">
        <v>1060</v>
      </c>
    </row>
    <row r="29" spans="1:24">
      <c r="A29" t="s">
        <v>3</v>
      </c>
      <c r="B29" s="3" t="s">
        <v>36</v>
      </c>
      <c r="C29" s="3" t="s">
        <v>11</v>
      </c>
      <c r="D29" s="3" t="s">
        <v>67</v>
      </c>
      <c r="E29" s="4">
        <v>619640</v>
      </c>
      <c r="F29" s="14">
        <f t="shared" si="0"/>
        <v>4.5833064359950937E-2</v>
      </c>
      <c r="G29" s="4">
        <v>28400</v>
      </c>
      <c r="H29" s="14">
        <f t="shared" si="1"/>
        <v>0.62763055967981407</v>
      </c>
      <c r="I29" s="4">
        <v>388905</v>
      </c>
      <c r="J29" s="14">
        <f t="shared" si="2"/>
        <v>0.21386611580917952</v>
      </c>
      <c r="K29" s="4">
        <v>132520</v>
      </c>
      <c r="L29" s="14">
        <f t="shared" si="3"/>
        <v>7.7948486217803885E-3</v>
      </c>
      <c r="M29" s="4">
        <v>4830</v>
      </c>
      <c r="N29" s="14">
        <f t="shared" si="4"/>
        <v>2.6224904783422633E-2</v>
      </c>
      <c r="O29" s="5">
        <v>16250</v>
      </c>
      <c r="P29" s="14">
        <f t="shared" si="5"/>
        <v>1.0409269898650829E-3</v>
      </c>
      <c r="Q29" s="3">
        <v>645</v>
      </c>
      <c r="R29" s="14">
        <f t="shared" si="6"/>
        <v>0.26853495578077591</v>
      </c>
      <c r="S29" s="3">
        <f t="shared" si="7"/>
        <v>166395</v>
      </c>
      <c r="T29" s="14">
        <f t="shared" si="8"/>
        <v>0.29475986056419856</v>
      </c>
      <c r="U29" s="5">
        <f t="shared" si="9"/>
        <v>182645</v>
      </c>
      <c r="V29" s="14">
        <f t="shared" si="10"/>
        <v>0.65385546446323672</v>
      </c>
      <c r="W29" s="5">
        <f t="shared" si="11"/>
        <v>405155</v>
      </c>
      <c r="X29" s="4">
        <v>5845</v>
      </c>
    </row>
    <row r="30" spans="1:24">
      <c r="A30" t="s">
        <v>3</v>
      </c>
      <c r="B30" s="3" t="s">
        <v>37</v>
      </c>
      <c r="C30" s="3" t="s">
        <v>15</v>
      </c>
      <c r="D30" s="3" t="s">
        <v>67</v>
      </c>
      <c r="E30" s="4">
        <v>194550</v>
      </c>
      <c r="F30" s="14">
        <f t="shared" si="0"/>
        <v>2.3721408378308918E-2</v>
      </c>
      <c r="G30" s="4">
        <v>4615</v>
      </c>
      <c r="H30" s="14">
        <f t="shared" si="1"/>
        <v>0.79745566692366998</v>
      </c>
      <c r="I30" s="4">
        <v>155145</v>
      </c>
      <c r="J30" s="14">
        <f t="shared" si="2"/>
        <v>9.3806219480853256E-2</v>
      </c>
      <c r="K30" s="4">
        <v>18250</v>
      </c>
      <c r="L30" s="14">
        <f t="shared" si="3"/>
        <v>5.962477512207659E-3</v>
      </c>
      <c r="M30" s="4">
        <v>1160</v>
      </c>
      <c r="N30" s="14">
        <f t="shared" si="4"/>
        <v>2.2076586995630944E-2</v>
      </c>
      <c r="O30" s="5">
        <v>4295</v>
      </c>
      <c r="P30" s="14">
        <f t="shared" si="5"/>
        <v>9.5091236186070421E-4</v>
      </c>
      <c r="Q30" s="3">
        <v>185</v>
      </c>
      <c r="R30" s="14">
        <f t="shared" si="6"/>
        <v>0.12444101773323053</v>
      </c>
      <c r="S30" s="3">
        <f t="shared" si="7"/>
        <v>24210</v>
      </c>
      <c r="T30" s="14">
        <f t="shared" si="8"/>
        <v>0.14651760472886147</v>
      </c>
      <c r="U30" s="5">
        <f t="shared" si="9"/>
        <v>28505</v>
      </c>
      <c r="V30" s="14">
        <f t="shared" si="10"/>
        <v>0.81953225391930096</v>
      </c>
      <c r="W30" s="5">
        <f t="shared" si="11"/>
        <v>159440</v>
      </c>
      <c r="X30" s="3">
        <v>1555</v>
      </c>
    </row>
    <row r="31" spans="1:24">
      <c r="A31" t="s">
        <v>3</v>
      </c>
      <c r="B31" s="3" t="s">
        <v>38</v>
      </c>
      <c r="C31" s="3" t="s">
        <v>5</v>
      </c>
      <c r="D31" s="3" t="s">
        <v>67</v>
      </c>
      <c r="E31" s="4">
        <v>8190</v>
      </c>
      <c r="F31" s="14">
        <f t="shared" si="0"/>
        <v>3.0525030525030524E-2</v>
      </c>
      <c r="G31" s="3">
        <v>250</v>
      </c>
      <c r="H31" s="14">
        <f t="shared" si="1"/>
        <v>0.77228327228327232</v>
      </c>
      <c r="I31" s="4">
        <v>6325</v>
      </c>
      <c r="J31" s="14">
        <f t="shared" si="2"/>
        <v>6.3492063492063489E-2</v>
      </c>
      <c r="K31" s="3">
        <v>520</v>
      </c>
      <c r="L31" s="14">
        <f t="shared" si="3"/>
        <v>2.2588522588522588E-2</v>
      </c>
      <c r="M31" s="3">
        <v>185</v>
      </c>
      <c r="N31" s="14">
        <f t="shared" si="4"/>
        <v>3.6019536019536016E-2</v>
      </c>
      <c r="O31" s="5">
        <v>295</v>
      </c>
      <c r="P31" s="14">
        <f t="shared" si="5"/>
        <v>4.884004884004884E-4</v>
      </c>
      <c r="Q31" s="3">
        <v>4</v>
      </c>
      <c r="R31" s="14">
        <f t="shared" si="6"/>
        <v>0.11709401709401709</v>
      </c>
      <c r="S31" s="3">
        <f t="shared" si="7"/>
        <v>959</v>
      </c>
      <c r="T31" s="14">
        <f t="shared" si="8"/>
        <v>0.15311355311355312</v>
      </c>
      <c r="U31" s="5">
        <f t="shared" si="9"/>
        <v>1254</v>
      </c>
      <c r="V31" s="14">
        <f t="shared" si="10"/>
        <v>0.80830280830280832</v>
      </c>
      <c r="W31" s="5">
        <f t="shared" si="11"/>
        <v>6620</v>
      </c>
      <c r="X31" s="3">
        <v>50</v>
      </c>
    </row>
    <row r="32" spans="1:24">
      <c r="A32" t="s">
        <v>3</v>
      </c>
      <c r="B32" s="3" t="s">
        <v>39</v>
      </c>
      <c r="C32" s="3" t="s">
        <v>15</v>
      </c>
      <c r="D32" s="3" t="s">
        <v>67</v>
      </c>
      <c r="E32" s="4">
        <v>951460</v>
      </c>
      <c r="F32" s="14">
        <f t="shared" si="0"/>
        <v>6.5772602106236727E-2</v>
      </c>
      <c r="G32" s="4">
        <v>62580</v>
      </c>
      <c r="H32" s="14">
        <f t="shared" si="1"/>
        <v>0.66215079982342928</v>
      </c>
      <c r="I32" s="4">
        <v>630010</v>
      </c>
      <c r="J32" s="14">
        <f t="shared" si="2"/>
        <v>0.13633258360834927</v>
      </c>
      <c r="K32" s="4">
        <v>129715</v>
      </c>
      <c r="L32" s="14">
        <f t="shared" si="3"/>
        <v>8.6235890105732238E-3</v>
      </c>
      <c r="M32" s="4">
        <v>8205</v>
      </c>
      <c r="N32" s="14">
        <f t="shared" si="4"/>
        <v>2.7068925651104619E-2</v>
      </c>
      <c r="O32" s="5">
        <v>25755</v>
      </c>
      <c r="P32" s="14">
        <f t="shared" si="5"/>
        <v>1.6080549891745318E-3</v>
      </c>
      <c r="Q32" s="4">
        <v>1530</v>
      </c>
      <c r="R32" s="14">
        <f t="shared" si="6"/>
        <v>0.21233682971433376</v>
      </c>
      <c r="S32" s="3">
        <f t="shared" si="7"/>
        <v>202030</v>
      </c>
      <c r="T32" s="14">
        <f t="shared" si="8"/>
        <v>0.23940575536543837</v>
      </c>
      <c r="U32" s="5">
        <f t="shared" si="9"/>
        <v>227785</v>
      </c>
      <c r="V32" s="14">
        <f t="shared" si="10"/>
        <v>0.68921972547453392</v>
      </c>
      <c r="W32" s="5">
        <f t="shared" si="11"/>
        <v>655765</v>
      </c>
      <c r="X32" s="4">
        <v>6665</v>
      </c>
    </row>
    <row r="33" spans="1:24">
      <c r="A33" t="s">
        <v>40</v>
      </c>
      <c r="B33" s="8" t="s">
        <v>41</v>
      </c>
      <c r="C33" s="3" t="s">
        <v>5</v>
      </c>
      <c r="D33" s="3" t="s">
        <v>67</v>
      </c>
      <c r="E33" s="11">
        <v>16325</v>
      </c>
      <c r="F33" s="14">
        <f t="shared" si="0"/>
        <v>8.8208269525267988E-2</v>
      </c>
      <c r="G33" s="11">
        <v>1440</v>
      </c>
      <c r="H33" s="14">
        <f t="shared" si="1"/>
        <v>0.65206738131699848</v>
      </c>
      <c r="I33" s="11">
        <v>10645</v>
      </c>
      <c r="J33" s="14">
        <f t="shared" si="2"/>
        <v>7.2588055130168458E-2</v>
      </c>
      <c r="K33" s="11">
        <v>1185</v>
      </c>
      <c r="L33" s="14">
        <f t="shared" si="3"/>
        <v>6.1255742725880554E-3</v>
      </c>
      <c r="M33" s="8">
        <v>100</v>
      </c>
      <c r="N33" s="14">
        <f t="shared" si="4"/>
        <v>0.14762633996937213</v>
      </c>
      <c r="O33" s="11">
        <v>2410</v>
      </c>
      <c r="P33" s="14">
        <f t="shared" si="5"/>
        <v>1.5313935681470138E-3</v>
      </c>
      <c r="Q33" s="8">
        <v>25</v>
      </c>
      <c r="R33" s="14">
        <f t="shared" si="6"/>
        <v>0.16845329249617153</v>
      </c>
      <c r="S33" s="3">
        <f t="shared" si="7"/>
        <v>2750</v>
      </c>
      <c r="T33" s="14">
        <f t="shared" si="8"/>
        <v>0.31607963246554366</v>
      </c>
      <c r="U33" s="5">
        <f t="shared" si="9"/>
        <v>5160</v>
      </c>
      <c r="V33" s="14">
        <f t="shared" si="10"/>
        <v>0.79969372128637062</v>
      </c>
      <c r="W33" s="5">
        <f t="shared" si="11"/>
        <v>13055</v>
      </c>
      <c r="X33" s="8">
        <v>525</v>
      </c>
    </row>
    <row r="34" spans="1:24">
      <c r="A34" t="s">
        <v>40</v>
      </c>
      <c r="B34" s="8" t="s">
        <v>42</v>
      </c>
      <c r="C34" s="3" t="s">
        <v>5</v>
      </c>
      <c r="D34" s="3" t="s">
        <v>67</v>
      </c>
      <c r="E34" s="11">
        <v>2925</v>
      </c>
      <c r="F34" s="14">
        <f t="shared" si="0"/>
        <v>7.3504273504273507E-2</v>
      </c>
      <c r="G34" s="8">
        <v>215</v>
      </c>
      <c r="H34" s="14">
        <f t="shared" si="1"/>
        <v>0.61367521367521372</v>
      </c>
      <c r="I34" s="11">
        <v>1795</v>
      </c>
      <c r="J34" s="14">
        <f t="shared" si="2"/>
        <v>5.8119658119658121E-2</v>
      </c>
      <c r="K34" s="8">
        <v>170</v>
      </c>
      <c r="L34" s="14">
        <f t="shared" si="3"/>
        <v>3.4188034188034188E-3</v>
      </c>
      <c r="M34" s="8">
        <v>10</v>
      </c>
      <c r="N34" s="14">
        <f t="shared" si="4"/>
        <v>0.22735042735042735</v>
      </c>
      <c r="O34" s="8">
        <v>665</v>
      </c>
      <c r="P34" s="14">
        <f t="shared" si="5"/>
        <v>0</v>
      </c>
      <c r="Q34" s="8">
        <v>0</v>
      </c>
      <c r="R34" s="14">
        <f t="shared" si="6"/>
        <v>0.13504273504273503</v>
      </c>
      <c r="S34" s="3">
        <f t="shared" si="7"/>
        <v>395</v>
      </c>
      <c r="T34" s="14">
        <f t="shared" si="8"/>
        <v>0.36239316239316238</v>
      </c>
      <c r="U34" s="5">
        <f t="shared" si="9"/>
        <v>1060</v>
      </c>
      <c r="V34" s="14">
        <f t="shared" si="10"/>
        <v>0.84102564102564104</v>
      </c>
      <c r="W34" s="5">
        <f t="shared" si="11"/>
        <v>2460</v>
      </c>
      <c r="X34" s="8">
        <v>70</v>
      </c>
    </row>
    <row r="35" spans="1:24">
      <c r="A35" t="s">
        <v>40</v>
      </c>
      <c r="B35" s="8" t="s">
        <v>43</v>
      </c>
      <c r="C35" s="3" t="s">
        <v>5</v>
      </c>
      <c r="D35" s="3" t="s">
        <v>67</v>
      </c>
      <c r="E35" s="11">
        <v>11395</v>
      </c>
      <c r="F35" s="14">
        <f t="shared" si="0"/>
        <v>9.0829311101360249E-2</v>
      </c>
      <c r="G35" s="11">
        <v>1035</v>
      </c>
      <c r="H35" s="14">
        <f t="shared" si="1"/>
        <v>0.64589732338745065</v>
      </c>
      <c r="I35" s="11">
        <v>7360</v>
      </c>
      <c r="J35" s="14">
        <f t="shared" si="2"/>
        <v>5.1777095217200524E-2</v>
      </c>
      <c r="K35" s="8">
        <v>590</v>
      </c>
      <c r="L35" s="14">
        <f t="shared" si="3"/>
        <v>0</v>
      </c>
      <c r="M35" s="8">
        <v>0</v>
      </c>
      <c r="N35" s="14">
        <f t="shared" si="4"/>
        <v>0.18692408951294429</v>
      </c>
      <c r="O35" s="11">
        <v>2130</v>
      </c>
      <c r="P35" s="14">
        <f t="shared" si="5"/>
        <v>0</v>
      </c>
      <c r="Q35" s="8">
        <v>0</v>
      </c>
      <c r="R35" s="14">
        <f t="shared" si="6"/>
        <v>0.14260640631856078</v>
      </c>
      <c r="S35" s="3">
        <f t="shared" si="7"/>
        <v>1625</v>
      </c>
      <c r="T35" s="14">
        <f t="shared" si="8"/>
        <v>0.32953049583150507</v>
      </c>
      <c r="U35" s="5">
        <f t="shared" si="9"/>
        <v>3755</v>
      </c>
      <c r="V35" s="14">
        <f t="shared" si="10"/>
        <v>0.83282141290039491</v>
      </c>
      <c r="W35" s="5">
        <f t="shared" si="11"/>
        <v>9490</v>
      </c>
      <c r="X35" s="8">
        <v>280</v>
      </c>
    </row>
    <row r="36" spans="1:24">
      <c r="A36" t="s">
        <v>40</v>
      </c>
      <c r="B36" s="8" t="s">
        <v>44</v>
      </c>
      <c r="C36" s="3" t="s">
        <v>5</v>
      </c>
      <c r="D36" s="3" t="s">
        <v>67</v>
      </c>
      <c r="E36" s="11">
        <v>49075</v>
      </c>
      <c r="F36" s="14">
        <f t="shared" si="0"/>
        <v>9.7198166072338263E-2</v>
      </c>
      <c r="G36" s="11">
        <v>4770</v>
      </c>
      <c r="H36" s="14">
        <f t="shared" si="1"/>
        <v>0.6831380539989812</v>
      </c>
      <c r="I36" s="11">
        <v>33525</v>
      </c>
      <c r="J36" s="14">
        <f t="shared" si="2"/>
        <v>5.6851757514009171E-2</v>
      </c>
      <c r="K36" s="11">
        <v>2790</v>
      </c>
      <c r="L36" s="14">
        <f t="shared" si="3"/>
        <v>3.9735099337748344E-3</v>
      </c>
      <c r="M36" s="8">
        <v>195</v>
      </c>
      <c r="N36" s="14">
        <f t="shared" si="4"/>
        <v>0.13214467651553743</v>
      </c>
      <c r="O36" s="11">
        <v>6485</v>
      </c>
      <c r="P36" s="14">
        <f t="shared" si="5"/>
        <v>1.3245033112582781E-3</v>
      </c>
      <c r="Q36" s="8">
        <v>65</v>
      </c>
      <c r="R36" s="14">
        <f t="shared" si="6"/>
        <v>0.15934793683138054</v>
      </c>
      <c r="S36" s="3">
        <f t="shared" si="7"/>
        <v>7820</v>
      </c>
      <c r="T36" s="14">
        <f t="shared" si="8"/>
        <v>0.29149261334691801</v>
      </c>
      <c r="U36" s="5">
        <f t="shared" si="9"/>
        <v>14305</v>
      </c>
      <c r="V36" s="14">
        <f t="shared" si="10"/>
        <v>0.81528273051451861</v>
      </c>
      <c r="W36" s="5">
        <f t="shared" si="11"/>
        <v>40010</v>
      </c>
      <c r="X36" s="11">
        <v>1250</v>
      </c>
    </row>
    <row r="37" spans="1:24">
      <c r="A37" t="s">
        <v>40</v>
      </c>
      <c r="B37" s="8" t="s">
        <v>45</v>
      </c>
      <c r="C37" s="3" t="s">
        <v>5</v>
      </c>
      <c r="D37" s="3" t="s">
        <v>67</v>
      </c>
      <c r="E37" s="11">
        <v>8315</v>
      </c>
      <c r="F37" s="14">
        <f t="shared" si="0"/>
        <v>6.7949488875526154E-2</v>
      </c>
      <c r="G37" s="8">
        <v>565</v>
      </c>
      <c r="H37" s="14">
        <f t="shared" si="1"/>
        <v>0.42693926638604929</v>
      </c>
      <c r="I37" s="11">
        <v>3550</v>
      </c>
      <c r="J37" s="14">
        <f t="shared" si="2"/>
        <v>7.6368009621166563E-2</v>
      </c>
      <c r="K37" s="8">
        <v>635</v>
      </c>
      <c r="L37" s="14">
        <f t="shared" si="3"/>
        <v>4.8105832832230909E-4</v>
      </c>
      <c r="M37" s="8">
        <v>4</v>
      </c>
      <c r="N37" s="14">
        <f t="shared" si="4"/>
        <v>0.40709561034275404</v>
      </c>
      <c r="O37" s="11">
        <v>3385</v>
      </c>
      <c r="P37" s="14">
        <f t="shared" si="5"/>
        <v>3.6079374624173183E-3</v>
      </c>
      <c r="Q37" s="8">
        <v>30</v>
      </c>
      <c r="R37" s="14">
        <f t="shared" si="6"/>
        <v>0.14840649428743236</v>
      </c>
      <c r="S37" s="3">
        <f t="shared" si="7"/>
        <v>1234</v>
      </c>
      <c r="T37" s="14">
        <f t="shared" si="8"/>
        <v>0.55550210463018646</v>
      </c>
      <c r="U37" s="5">
        <f t="shared" si="9"/>
        <v>4619</v>
      </c>
      <c r="V37" s="14">
        <f t="shared" si="10"/>
        <v>0.83403487672880339</v>
      </c>
      <c r="W37" s="5">
        <f t="shared" si="11"/>
        <v>6935</v>
      </c>
      <c r="X37" s="8">
        <v>145</v>
      </c>
    </row>
    <row r="38" spans="1:24">
      <c r="A38" t="s">
        <v>40</v>
      </c>
      <c r="B38" s="6" t="s">
        <v>46</v>
      </c>
      <c r="C38" s="9" t="s">
        <v>5</v>
      </c>
      <c r="D38" s="3" t="s">
        <v>67</v>
      </c>
      <c r="E38" s="7">
        <v>20645</v>
      </c>
      <c r="F38" s="14">
        <f t="shared" si="0"/>
        <v>9.2516347783967057E-2</v>
      </c>
      <c r="G38" s="7">
        <v>1910</v>
      </c>
      <c r="H38" s="14">
        <f t="shared" si="1"/>
        <v>0.51755873092758542</v>
      </c>
      <c r="I38" s="7">
        <v>10685</v>
      </c>
      <c r="J38" s="14">
        <f t="shared" si="2"/>
        <v>8.2828772099782025E-2</v>
      </c>
      <c r="K38" s="7">
        <v>1710</v>
      </c>
      <c r="L38" s="14">
        <f t="shared" si="3"/>
        <v>2.421893921046258E-3</v>
      </c>
      <c r="M38" s="6">
        <v>50</v>
      </c>
      <c r="N38" s="14">
        <f t="shared" si="4"/>
        <v>0.2850569145071446</v>
      </c>
      <c r="O38" s="7">
        <v>5885</v>
      </c>
      <c r="P38" s="14">
        <f t="shared" si="5"/>
        <v>1.9375151368370065E-4</v>
      </c>
      <c r="Q38" s="6">
        <v>4</v>
      </c>
      <c r="R38" s="14">
        <f t="shared" si="6"/>
        <v>0.17796076531847904</v>
      </c>
      <c r="S38" s="3">
        <f t="shared" si="7"/>
        <v>3674</v>
      </c>
      <c r="T38" s="14">
        <f t="shared" si="8"/>
        <v>0.46301767982562364</v>
      </c>
      <c r="U38" s="5">
        <f t="shared" si="9"/>
        <v>9559</v>
      </c>
      <c r="V38" s="14">
        <f t="shared" si="10"/>
        <v>0.80261564543472996</v>
      </c>
      <c r="W38" s="5">
        <f t="shared" si="11"/>
        <v>16570</v>
      </c>
      <c r="X38" s="6">
        <v>395</v>
      </c>
    </row>
    <row r="39" spans="1:24">
      <c r="A39" t="s">
        <v>40</v>
      </c>
      <c r="B39" s="6" t="s">
        <v>47</v>
      </c>
      <c r="C39" s="3" t="s">
        <v>5</v>
      </c>
      <c r="D39" s="3" t="s">
        <v>67</v>
      </c>
      <c r="E39" s="7">
        <v>8940</v>
      </c>
      <c r="F39" s="14">
        <f t="shared" si="0"/>
        <v>7.4944071588366884E-2</v>
      </c>
      <c r="G39" s="6">
        <v>670</v>
      </c>
      <c r="H39" s="14">
        <f t="shared" si="1"/>
        <v>0.70246085011185677</v>
      </c>
      <c r="I39" s="7">
        <v>6280</v>
      </c>
      <c r="J39" s="14">
        <f t="shared" si="2"/>
        <v>7.5503355704697989E-2</v>
      </c>
      <c r="K39" s="6">
        <v>675</v>
      </c>
      <c r="L39" s="14">
        <f t="shared" si="3"/>
        <v>5.0335570469798654E-3</v>
      </c>
      <c r="M39" s="6">
        <v>45</v>
      </c>
      <c r="N39" s="14">
        <f t="shared" si="4"/>
        <v>0.11968680089485459</v>
      </c>
      <c r="O39" s="7">
        <v>1070</v>
      </c>
      <c r="P39" s="14">
        <f t="shared" si="5"/>
        <v>1.6778523489932886E-3</v>
      </c>
      <c r="Q39" s="6">
        <v>15</v>
      </c>
      <c r="R39" s="14">
        <f t="shared" si="6"/>
        <v>0.15715883668903805</v>
      </c>
      <c r="S39" s="3">
        <f t="shared" si="7"/>
        <v>1405</v>
      </c>
      <c r="T39" s="14">
        <f t="shared" si="8"/>
        <v>0.27684563758389263</v>
      </c>
      <c r="U39" s="5">
        <f t="shared" si="9"/>
        <v>2475</v>
      </c>
      <c r="V39" s="14">
        <f t="shared" si="10"/>
        <v>0.82214765100671139</v>
      </c>
      <c r="W39" s="5">
        <f t="shared" si="11"/>
        <v>7350</v>
      </c>
      <c r="X39" s="6">
        <v>185</v>
      </c>
    </row>
    <row r="40" spans="1:24">
      <c r="A40" t="s">
        <v>40</v>
      </c>
      <c r="B40" s="6" t="s">
        <v>48</v>
      </c>
      <c r="C40" s="3" t="s">
        <v>5</v>
      </c>
      <c r="D40" s="3" t="s">
        <v>67</v>
      </c>
      <c r="E40" s="7">
        <v>43160</v>
      </c>
      <c r="F40" s="14">
        <f t="shared" si="0"/>
        <v>9.1056533827618164E-2</v>
      </c>
      <c r="G40" s="7">
        <v>3930</v>
      </c>
      <c r="H40" s="14">
        <f t="shared" si="1"/>
        <v>0.64284059314179798</v>
      </c>
      <c r="I40" s="7">
        <v>27745</v>
      </c>
      <c r="J40" s="14">
        <f t="shared" si="2"/>
        <v>8.1441149212233555E-2</v>
      </c>
      <c r="K40" s="7">
        <v>3515</v>
      </c>
      <c r="L40" s="14">
        <f t="shared" si="3"/>
        <v>2.6645041705282671E-3</v>
      </c>
      <c r="M40" s="6">
        <v>115</v>
      </c>
      <c r="N40" s="14">
        <f t="shared" si="4"/>
        <v>0.15569972196478221</v>
      </c>
      <c r="O40" s="7">
        <v>6720</v>
      </c>
      <c r="P40" s="14">
        <f t="shared" si="5"/>
        <v>1.6218721037998146E-3</v>
      </c>
      <c r="Q40" s="6">
        <v>70</v>
      </c>
      <c r="R40" s="14">
        <f t="shared" si="6"/>
        <v>0.17678405931417979</v>
      </c>
      <c r="S40" s="3">
        <f t="shared" si="7"/>
        <v>7630</v>
      </c>
      <c r="T40" s="14">
        <f t="shared" si="8"/>
        <v>0.332483781278962</v>
      </c>
      <c r="U40" s="5">
        <f t="shared" si="9"/>
        <v>14350</v>
      </c>
      <c r="V40" s="14">
        <f t="shared" si="10"/>
        <v>0.79854031510658019</v>
      </c>
      <c r="W40" s="5">
        <f t="shared" si="11"/>
        <v>34465</v>
      </c>
      <c r="X40" s="7">
        <v>1065</v>
      </c>
    </row>
    <row r="41" spans="1:24">
      <c r="A41" t="s">
        <v>40</v>
      </c>
      <c r="B41" s="6" t="s">
        <v>49</v>
      </c>
      <c r="C41" s="3" t="s">
        <v>5</v>
      </c>
      <c r="D41" s="3" t="s">
        <v>67</v>
      </c>
      <c r="E41" s="7">
        <v>1425</v>
      </c>
      <c r="F41" s="14">
        <f t="shared" si="0"/>
        <v>9.8245614035087719E-2</v>
      </c>
      <c r="G41" s="6">
        <v>140</v>
      </c>
      <c r="H41" s="14">
        <f t="shared" si="1"/>
        <v>0.5859649122807018</v>
      </c>
      <c r="I41" s="6">
        <v>835</v>
      </c>
      <c r="J41" s="14">
        <f t="shared" si="2"/>
        <v>0.15438596491228071</v>
      </c>
      <c r="K41" s="6">
        <v>220</v>
      </c>
      <c r="L41" s="14">
        <f t="shared" si="3"/>
        <v>0</v>
      </c>
      <c r="M41" s="6">
        <v>0</v>
      </c>
      <c r="N41" s="14">
        <f t="shared" si="4"/>
        <v>0.13333333333333333</v>
      </c>
      <c r="O41" s="6">
        <v>190</v>
      </c>
      <c r="P41" s="14">
        <f t="shared" si="5"/>
        <v>1.0526315789473684E-2</v>
      </c>
      <c r="Q41" s="6">
        <v>15</v>
      </c>
      <c r="R41" s="14">
        <f t="shared" si="6"/>
        <v>0.26315789473684209</v>
      </c>
      <c r="S41" s="3">
        <f t="shared" si="7"/>
        <v>375</v>
      </c>
      <c r="T41" s="14">
        <f t="shared" si="8"/>
        <v>0.39649122807017545</v>
      </c>
      <c r="U41" s="5">
        <f t="shared" si="9"/>
        <v>565</v>
      </c>
      <c r="V41" s="14">
        <f t="shared" si="10"/>
        <v>0.7192982456140351</v>
      </c>
      <c r="W41" s="5">
        <f t="shared" si="11"/>
        <v>1025</v>
      </c>
      <c r="X41" s="6">
        <v>25</v>
      </c>
    </row>
    <row r="42" spans="1:24">
      <c r="A42" t="s">
        <v>40</v>
      </c>
      <c r="B42" s="6" t="s">
        <v>50</v>
      </c>
      <c r="C42" s="3" t="s">
        <v>5</v>
      </c>
      <c r="D42" s="3" t="s">
        <v>67</v>
      </c>
      <c r="E42" s="7">
        <v>4735</v>
      </c>
      <c r="F42" s="14">
        <f t="shared" si="0"/>
        <v>7.8141499472016901E-2</v>
      </c>
      <c r="G42" s="6">
        <v>370</v>
      </c>
      <c r="H42" s="14">
        <f t="shared" si="1"/>
        <v>0.61457233368532205</v>
      </c>
      <c r="I42" s="7">
        <v>2910</v>
      </c>
      <c r="J42" s="14">
        <f t="shared" si="2"/>
        <v>7.3917634635691662E-2</v>
      </c>
      <c r="K42" s="6">
        <v>350</v>
      </c>
      <c r="L42" s="14">
        <f t="shared" si="3"/>
        <v>5.279831045406547E-3</v>
      </c>
      <c r="M42" s="6">
        <v>25</v>
      </c>
      <c r="N42" s="14">
        <f t="shared" si="4"/>
        <v>0.21330517423442449</v>
      </c>
      <c r="O42" s="7">
        <v>1010</v>
      </c>
      <c r="P42" s="14">
        <f t="shared" si="5"/>
        <v>0</v>
      </c>
      <c r="Q42" s="6">
        <v>0</v>
      </c>
      <c r="R42" s="14">
        <f t="shared" si="6"/>
        <v>0.1573389651531151</v>
      </c>
      <c r="S42" s="3">
        <f t="shared" si="7"/>
        <v>745</v>
      </c>
      <c r="T42" s="14">
        <f t="shared" si="8"/>
        <v>0.3706441393875396</v>
      </c>
      <c r="U42" s="5">
        <f t="shared" si="9"/>
        <v>1755</v>
      </c>
      <c r="V42" s="14">
        <f t="shared" si="10"/>
        <v>0.82787750791974657</v>
      </c>
      <c r="W42" s="5">
        <f t="shared" si="11"/>
        <v>3920</v>
      </c>
      <c r="X42" s="6">
        <v>70</v>
      </c>
    </row>
    <row r="43" spans="1:24">
      <c r="A43" t="s">
        <v>40</v>
      </c>
      <c r="B43" s="6" t="s">
        <v>51</v>
      </c>
      <c r="C43" s="3" t="s">
        <v>5</v>
      </c>
      <c r="D43" s="3" t="s">
        <v>67</v>
      </c>
      <c r="E43" s="7">
        <v>22895</v>
      </c>
      <c r="F43" s="14">
        <f t="shared" si="0"/>
        <v>7.4470408386110507E-2</v>
      </c>
      <c r="G43" s="7">
        <v>1705</v>
      </c>
      <c r="H43" s="14">
        <f t="shared" si="1"/>
        <v>0.66171653199388514</v>
      </c>
      <c r="I43" s="7">
        <v>15150</v>
      </c>
      <c r="J43" s="14">
        <f t="shared" si="2"/>
        <v>5.197641406420616E-2</v>
      </c>
      <c r="K43" s="7">
        <v>1190</v>
      </c>
      <c r="L43" s="14">
        <f t="shared" si="3"/>
        <v>1.9654946494867876E-3</v>
      </c>
      <c r="M43" s="6">
        <v>45</v>
      </c>
      <c r="N43" s="14">
        <f t="shared" si="4"/>
        <v>0.18322777899104609</v>
      </c>
      <c r="O43" s="7">
        <v>4195</v>
      </c>
      <c r="P43" s="14">
        <f t="shared" si="5"/>
        <v>6.5516488316226247E-4</v>
      </c>
      <c r="Q43" s="6">
        <v>15</v>
      </c>
      <c r="R43" s="14">
        <f t="shared" si="6"/>
        <v>0.12906748198296572</v>
      </c>
      <c r="S43" s="3">
        <f t="shared" si="7"/>
        <v>2955</v>
      </c>
      <c r="T43" s="14">
        <f t="shared" si="8"/>
        <v>0.31229526097401178</v>
      </c>
      <c r="U43" s="5">
        <f t="shared" si="9"/>
        <v>7150</v>
      </c>
      <c r="V43" s="14">
        <f t="shared" si="10"/>
        <v>0.84494431098493117</v>
      </c>
      <c r="W43" s="5">
        <f t="shared" si="11"/>
        <v>19345</v>
      </c>
      <c r="X43" s="6">
        <v>595</v>
      </c>
    </row>
    <row r="44" spans="1:24">
      <c r="A44" t="s">
        <v>40</v>
      </c>
      <c r="B44" s="6" t="s">
        <v>52</v>
      </c>
      <c r="C44" s="3" t="s">
        <v>5</v>
      </c>
      <c r="D44" s="3" t="s">
        <v>67</v>
      </c>
      <c r="E44" s="7">
        <v>4760</v>
      </c>
      <c r="F44" s="14">
        <f t="shared" si="0"/>
        <v>0.10294117647058823</v>
      </c>
      <c r="G44" s="6">
        <v>490</v>
      </c>
      <c r="H44" s="14">
        <f t="shared" si="1"/>
        <v>0.65441176470588236</v>
      </c>
      <c r="I44" s="7">
        <v>3115</v>
      </c>
      <c r="J44" s="14">
        <f t="shared" si="2"/>
        <v>6.0924369747899158E-2</v>
      </c>
      <c r="K44" s="6">
        <v>290</v>
      </c>
      <c r="L44" s="14">
        <f t="shared" si="3"/>
        <v>0</v>
      </c>
      <c r="M44" s="6">
        <v>0</v>
      </c>
      <c r="N44" s="14">
        <f t="shared" si="4"/>
        <v>0.15441176470588236</v>
      </c>
      <c r="O44" s="6">
        <v>735</v>
      </c>
      <c r="P44" s="14">
        <f t="shared" si="5"/>
        <v>4.2016806722689074E-3</v>
      </c>
      <c r="Q44" s="6">
        <v>20</v>
      </c>
      <c r="R44" s="14">
        <f t="shared" si="6"/>
        <v>0.16806722689075632</v>
      </c>
      <c r="S44" s="3">
        <f t="shared" si="7"/>
        <v>800</v>
      </c>
      <c r="T44" s="14">
        <f t="shared" si="8"/>
        <v>0.32247899159663868</v>
      </c>
      <c r="U44" s="5">
        <f t="shared" si="9"/>
        <v>1535</v>
      </c>
      <c r="V44" s="14">
        <f t="shared" si="10"/>
        <v>0.80882352941176472</v>
      </c>
      <c r="W44" s="5">
        <f t="shared" si="11"/>
        <v>3850</v>
      </c>
      <c r="X44" s="6">
        <v>105</v>
      </c>
    </row>
    <row r="45" spans="1:24">
      <c r="A45" t="s">
        <v>40</v>
      </c>
      <c r="B45" s="6" t="s">
        <v>53</v>
      </c>
      <c r="C45" s="3" t="s">
        <v>5</v>
      </c>
      <c r="D45" s="3" t="s">
        <v>67</v>
      </c>
      <c r="E45" s="7">
        <v>75865</v>
      </c>
      <c r="F45" s="14">
        <f t="shared" si="0"/>
        <v>7.7440189810848215E-2</v>
      </c>
      <c r="G45" s="7">
        <v>5875</v>
      </c>
      <c r="H45" s="14">
        <f t="shared" si="1"/>
        <v>0.59170895669940027</v>
      </c>
      <c r="I45" s="7">
        <v>44890</v>
      </c>
      <c r="J45" s="14">
        <f t="shared" si="2"/>
        <v>6.2940750016476629E-2</v>
      </c>
      <c r="K45" s="7">
        <v>4775</v>
      </c>
      <c r="L45" s="14">
        <f t="shared" si="3"/>
        <v>3.4271403150332828E-3</v>
      </c>
      <c r="M45" s="6">
        <v>260</v>
      </c>
      <c r="N45" s="14">
        <f t="shared" si="4"/>
        <v>0.23779081262769394</v>
      </c>
      <c r="O45" s="7">
        <v>18040</v>
      </c>
      <c r="P45" s="14">
        <f t="shared" si="5"/>
        <v>2.8339814143544455E-3</v>
      </c>
      <c r="Q45" s="6">
        <v>215</v>
      </c>
      <c r="R45" s="14">
        <f t="shared" si="6"/>
        <v>0.14664206155671258</v>
      </c>
      <c r="S45" s="3">
        <f t="shared" si="7"/>
        <v>11125</v>
      </c>
      <c r="T45" s="14">
        <f t="shared" si="8"/>
        <v>0.38443287418440653</v>
      </c>
      <c r="U45" s="5">
        <f t="shared" si="9"/>
        <v>29165</v>
      </c>
      <c r="V45" s="14">
        <f t="shared" si="10"/>
        <v>0.82949976932709413</v>
      </c>
      <c r="W45" s="5">
        <f t="shared" si="11"/>
        <v>62930</v>
      </c>
      <c r="X45" s="7">
        <v>1805</v>
      </c>
    </row>
    <row r="46" spans="1:24">
      <c r="A46" t="s">
        <v>40</v>
      </c>
      <c r="B46" s="6" t="s">
        <v>54</v>
      </c>
      <c r="C46" s="3" t="s">
        <v>5</v>
      </c>
      <c r="D46" s="3" t="s">
        <v>67</v>
      </c>
      <c r="E46" s="7">
        <v>117060</v>
      </c>
      <c r="F46" s="14">
        <f t="shared" si="0"/>
        <v>0.11699128651973346</v>
      </c>
      <c r="G46" s="7">
        <v>13695</v>
      </c>
      <c r="H46" s="14">
        <f t="shared" si="1"/>
        <v>0.64817187766957118</v>
      </c>
      <c r="I46" s="7">
        <v>75875</v>
      </c>
      <c r="J46" s="14">
        <f t="shared" si="2"/>
        <v>0.102554245685973</v>
      </c>
      <c r="K46" s="7">
        <v>12005</v>
      </c>
      <c r="L46" s="14">
        <f t="shared" si="3"/>
        <v>6.0225525371604303E-3</v>
      </c>
      <c r="M46" s="6">
        <v>705</v>
      </c>
      <c r="N46" s="14">
        <f t="shared" si="4"/>
        <v>0.10212711430035878</v>
      </c>
      <c r="O46" s="7">
        <v>11955</v>
      </c>
      <c r="P46" s="14">
        <f t="shared" si="5"/>
        <v>1.4522467110883307E-3</v>
      </c>
      <c r="Q46" s="6">
        <v>170</v>
      </c>
      <c r="R46" s="14">
        <f t="shared" si="6"/>
        <v>0.22702033145395523</v>
      </c>
      <c r="S46" s="3">
        <f t="shared" si="7"/>
        <v>26575</v>
      </c>
      <c r="T46" s="14">
        <f t="shared" si="8"/>
        <v>0.32914744575431404</v>
      </c>
      <c r="U46" s="5">
        <f t="shared" si="9"/>
        <v>38530</v>
      </c>
      <c r="V46" s="14">
        <f t="shared" si="10"/>
        <v>0.75029899196993</v>
      </c>
      <c r="W46" s="5">
        <f t="shared" si="11"/>
        <v>87830</v>
      </c>
      <c r="X46" s="7">
        <v>2655</v>
      </c>
    </row>
    <row r="47" spans="1:24">
      <c r="A47" t="s">
        <v>40</v>
      </c>
      <c r="B47" s="6" t="s">
        <v>55</v>
      </c>
      <c r="C47" s="8" t="s">
        <v>11</v>
      </c>
      <c r="D47" s="3" t="s">
        <v>67</v>
      </c>
      <c r="E47" s="7">
        <v>151340</v>
      </c>
      <c r="F47" s="14">
        <f t="shared" si="0"/>
        <v>7.9721157658252939E-2</v>
      </c>
      <c r="G47" s="7">
        <v>12065</v>
      </c>
      <c r="H47" s="14">
        <f t="shared" si="1"/>
        <v>0.81016254790537867</v>
      </c>
      <c r="I47" s="7">
        <v>122610</v>
      </c>
      <c r="J47" s="14">
        <f t="shared" si="2"/>
        <v>5.5239857275009914E-2</v>
      </c>
      <c r="K47" s="7">
        <v>8360</v>
      </c>
      <c r="L47" s="14">
        <f t="shared" si="3"/>
        <v>1.1232985331042686E-3</v>
      </c>
      <c r="M47" s="6">
        <v>170</v>
      </c>
      <c r="N47" s="14">
        <f t="shared" si="4"/>
        <v>3.3500726840227306E-2</v>
      </c>
      <c r="O47" s="7">
        <v>5070</v>
      </c>
      <c r="P47" s="14">
        <f t="shared" si="5"/>
        <v>1.9822915290075327E-4</v>
      </c>
      <c r="Q47" s="6">
        <v>30</v>
      </c>
      <c r="R47" s="14">
        <f t="shared" si="6"/>
        <v>0.13628254261926787</v>
      </c>
      <c r="S47" s="3">
        <f t="shared" si="7"/>
        <v>20625</v>
      </c>
      <c r="T47" s="14">
        <f t="shared" si="8"/>
        <v>0.16978326945949518</v>
      </c>
      <c r="U47" s="5">
        <f t="shared" si="9"/>
        <v>25695</v>
      </c>
      <c r="V47" s="14">
        <f t="shared" si="10"/>
        <v>0.84366327474560587</v>
      </c>
      <c r="W47" s="5">
        <f t="shared" si="11"/>
        <v>127680</v>
      </c>
      <c r="X47" s="7">
        <v>3035</v>
      </c>
    </row>
    <row r="48" spans="1:24">
      <c r="A48" t="s">
        <v>40</v>
      </c>
      <c r="B48" s="6" t="s">
        <v>56</v>
      </c>
      <c r="C48" s="8" t="s">
        <v>11</v>
      </c>
      <c r="D48" s="3" t="s">
        <v>67</v>
      </c>
      <c r="E48" s="7">
        <v>1540580</v>
      </c>
      <c r="F48" s="14">
        <f t="shared" si="0"/>
        <v>0.13502382219683495</v>
      </c>
      <c r="G48" s="7">
        <v>208015</v>
      </c>
      <c r="H48" s="14">
        <f t="shared" si="1"/>
        <v>0.60539212504381468</v>
      </c>
      <c r="I48" s="7">
        <v>932655</v>
      </c>
      <c r="J48" s="14">
        <f t="shared" si="2"/>
        <v>0.19763335886484312</v>
      </c>
      <c r="K48" s="7">
        <v>304470</v>
      </c>
      <c r="L48" s="14">
        <f t="shared" si="3"/>
        <v>8.5519739318957802E-3</v>
      </c>
      <c r="M48" s="7">
        <v>13175</v>
      </c>
      <c r="N48" s="14">
        <f t="shared" si="4"/>
        <v>3.0225629308442276E-2</v>
      </c>
      <c r="O48" s="7">
        <v>46565</v>
      </c>
      <c r="P48" s="14">
        <f t="shared" si="5"/>
        <v>1.3241766088096692E-3</v>
      </c>
      <c r="Q48" s="7">
        <v>2040</v>
      </c>
      <c r="R48" s="14">
        <f t="shared" si="6"/>
        <v>0.34253333160238353</v>
      </c>
      <c r="S48" s="3">
        <f t="shared" si="7"/>
        <v>527700</v>
      </c>
      <c r="T48" s="14">
        <f t="shared" si="8"/>
        <v>0.37275896091082578</v>
      </c>
      <c r="U48" s="5">
        <f t="shared" si="9"/>
        <v>574265</v>
      </c>
      <c r="V48" s="14">
        <f t="shared" si="10"/>
        <v>0.63561775435225698</v>
      </c>
      <c r="W48" s="5">
        <f t="shared" si="11"/>
        <v>979220</v>
      </c>
      <c r="X48" s="7">
        <v>33660</v>
      </c>
    </row>
    <row r="49" spans="1:24">
      <c r="A49" t="s">
        <v>40</v>
      </c>
      <c r="B49" s="6" t="s">
        <v>57</v>
      </c>
      <c r="C49" s="8" t="s">
        <v>15</v>
      </c>
      <c r="D49" s="3" t="s">
        <v>67</v>
      </c>
      <c r="E49" s="7">
        <v>592920</v>
      </c>
      <c r="F49" s="14">
        <f t="shared" si="0"/>
        <v>0.14311374215745801</v>
      </c>
      <c r="G49" s="7">
        <v>84855</v>
      </c>
      <c r="H49" s="14">
        <f t="shared" si="1"/>
        <v>0.63083552587195579</v>
      </c>
      <c r="I49" s="7">
        <v>374035</v>
      </c>
      <c r="J49" s="14">
        <f t="shared" si="2"/>
        <v>0.16635465155501586</v>
      </c>
      <c r="K49" s="7">
        <v>98635</v>
      </c>
      <c r="L49" s="14">
        <f t="shared" si="3"/>
        <v>6.375227686703097E-3</v>
      </c>
      <c r="M49" s="7">
        <v>3780</v>
      </c>
      <c r="N49" s="14">
        <f t="shared" si="4"/>
        <v>3.3942184443095193E-2</v>
      </c>
      <c r="O49" s="7">
        <v>20125</v>
      </c>
      <c r="P49" s="14">
        <f t="shared" si="5"/>
        <v>1.1384335154826959E-3</v>
      </c>
      <c r="Q49" s="6">
        <v>675</v>
      </c>
      <c r="R49" s="14">
        <f t="shared" si="6"/>
        <v>0.31698205491465964</v>
      </c>
      <c r="S49" s="3">
        <f t="shared" si="7"/>
        <v>187945</v>
      </c>
      <c r="T49" s="14">
        <f t="shared" si="8"/>
        <v>0.35092423935775485</v>
      </c>
      <c r="U49" s="5">
        <f t="shared" si="9"/>
        <v>208070</v>
      </c>
      <c r="V49" s="14">
        <f t="shared" si="10"/>
        <v>0.66477771031505095</v>
      </c>
      <c r="W49" s="5">
        <f t="shared" si="11"/>
        <v>394160</v>
      </c>
      <c r="X49" s="7">
        <v>10815</v>
      </c>
    </row>
    <row r="50" spans="1:24">
      <c r="A50" t="s">
        <v>40</v>
      </c>
      <c r="B50" s="6" t="s">
        <v>58</v>
      </c>
      <c r="C50" s="8" t="s">
        <v>15</v>
      </c>
      <c r="D50" s="3" t="s">
        <v>67</v>
      </c>
      <c r="E50" s="7">
        <v>2961805</v>
      </c>
      <c r="F50" s="14">
        <f t="shared" si="0"/>
        <v>9.373338217742222E-2</v>
      </c>
      <c r="G50" s="7">
        <v>277620</v>
      </c>
      <c r="H50" s="14">
        <f t="shared" si="1"/>
        <v>0.77096061354478096</v>
      </c>
      <c r="I50" s="7">
        <v>2283435</v>
      </c>
      <c r="J50" s="14">
        <f t="shared" si="2"/>
        <v>8.7755608488742504E-2</v>
      </c>
      <c r="K50" s="7">
        <v>259915</v>
      </c>
      <c r="L50" s="14">
        <f t="shared" si="3"/>
        <v>3.9047135108489588E-3</v>
      </c>
      <c r="M50" s="7">
        <v>11565</v>
      </c>
      <c r="N50" s="14">
        <f t="shared" si="4"/>
        <v>2.7474799995273153E-2</v>
      </c>
      <c r="O50" s="7">
        <v>81375</v>
      </c>
      <c r="P50" s="14">
        <f t="shared" si="5"/>
        <v>6.7188758206566609E-4</v>
      </c>
      <c r="Q50" s="7">
        <v>1990</v>
      </c>
      <c r="R50" s="14">
        <f t="shared" si="6"/>
        <v>0.18606559175907936</v>
      </c>
      <c r="S50" s="3">
        <f t="shared" si="7"/>
        <v>551090</v>
      </c>
      <c r="T50" s="14">
        <f t="shared" si="8"/>
        <v>0.21354039175435249</v>
      </c>
      <c r="U50" s="5">
        <f t="shared" si="9"/>
        <v>632465</v>
      </c>
      <c r="V50" s="14">
        <f t="shared" si="10"/>
        <v>0.7984354135400541</v>
      </c>
      <c r="W50" s="5">
        <f t="shared" si="11"/>
        <v>2364810</v>
      </c>
      <c r="X50" s="7">
        <v>45910</v>
      </c>
    </row>
    <row r="51" spans="1:24">
      <c r="A51" t="s">
        <v>40</v>
      </c>
      <c r="B51" s="6" t="s">
        <v>59</v>
      </c>
      <c r="C51" s="8" t="s">
        <v>15</v>
      </c>
      <c r="D51" s="3" t="s">
        <v>67</v>
      </c>
      <c r="E51" s="7">
        <v>459395</v>
      </c>
      <c r="F51" s="14">
        <f t="shared" si="0"/>
        <v>8.9215163421456481E-2</v>
      </c>
      <c r="G51" s="7">
        <v>40985</v>
      </c>
      <c r="H51" s="14">
        <f t="shared" si="1"/>
        <v>0.78004767139389852</v>
      </c>
      <c r="I51" s="7">
        <v>358350</v>
      </c>
      <c r="J51" s="14">
        <f t="shared" si="2"/>
        <v>7.4989932411105908E-2</v>
      </c>
      <c r="K51" s="7">
        <v>34450</v>
      </c>
      <c r="L51" s="14">
        <f t="shared" si="3"/>
        <v>4.1358743564906021E-3</v>
      </c>
      <c r="M51" s="7">
        <v>1900</v>
      </c>
      <c r="N51" s="14">
        <f t="shared" si="4"/>
        <v>3.2706059055932261E-2</v>
      </c>
      <c r="O51" s="7">
        <v>15025</v>
      </c>
      <c r="P51" s="14">
        <f t="shared" si="5"/>
        <v>8.2717487129812031E-4</v>
      </c>
      <c r="Q51" s="6">
        <v>380</v>
      </c>
      <c r="R51" s="14">
        <f t="shared" si="6"/>
        <v>0.1691681450603511</v>
      </c>
      <c r="S51" s="3">
        <f t="shared" si="7"/>
        <v>77715</v>
      </c>
      <c r="T51" s="14">
        <f t="shared" si="8"/>
        <v>0.20187420411628337</v>
      </c>
      <c r="U51" s="5">
        <f t="shared" si="9"/>
        <v>92740</v>
      </c>
      <c r="V51" s="14">
        <f t="shared" si="10"/>
        <v>0.81275373044983079</v>
      </c>
      <c r="W51" s="5">
        <f t="shared" si="11"/>
        <v>373375</v>
      </c>
      <c r="X51" s="7">
        <v>8300</v>
      </c>
    </row>
    <row r="52" spans="1:24">
      <c r="A52" t="s">
        <v>40</v>
      </c>
      <c r="B52" s="6" t="s">
        <v>60</v>
      </c>
      <c r="C52" s="8" t="s">
        <v>15</v>
      </c>
      <c r="D52" s="3" t="s">
        <v>67</v>
      </c>
      <c r="E52" s="7">
        <v>229325</v>
      </c>
      <c r="F52" s="14">
        <f t="shared" si="0"/>
        <v>9.6129946582361278E-2</v>
      </c>
      <c r="G52" s="7">
        <v>22045</v>
      </c>
      <c r="H52" s="14">
        <f t="shared" si="1"/>
        <v>0.76328354954758526</v>
      </c>
      <c r="I52" s="7">
        <v>175040</v>
      </c>
      <c r="J52" s="14">
        <f t="shared" si="2"/>
        <v>9.0395726588902214E-2</v>
      </c>
      <c r="K52" s="7">
        <v>20730</v>
      </c>
      <c r="L52" s="14">
        <f t="shared" si="3"/>
        <v>4.7530796903957262E-3</v>
      </c>
      <c r="M52" s="7">
        <v>1090</v>
      </c>
      <c r="N52" s="14">
        <f t="shared" si="4"/>
        <v>2.596751335440968E-2</v>
      </c>
      <c r="O52" s="7">
        <v>5955</v>
      </c>
      <c r="P52" s="14">
        <f t="shared" si="5"/>
        <v>1.0029434209091899E-3</v>
      </c>
      <c r="Q52" s="6">
        <v>230</v>
      </c>
      <c r="R52" s="14">
        <f t="shared" si="6"/>
        <v>0.19228169628256842</v>
      </c>
      <c r="S52" s="3">
        <f t="shared" si="7"/>
        <v>44095</v>
      </c>
      <c r="T52" s="14">
        <f t="shared" si="8"/>
        <v>0.21824920963697808</v>
      </c>
      <c r="U52" s="5">
        <f t="shared" si="9"/>
        <v>50050</v>
      </c>
      <c r="V52" s="14">
        <f t="shared" si="10"/>
        <v>0.78925106290199498</v>
      </c>
      <c r="W52" s="5">
        <f t="shared" si="11"/>
        <v>180995</v>
      </c>
      <c r="X52" s="7">
        <v>4235</v>
      </c>
    </row>
    <row r="53" spans="1:24">
      <c r="A53" t="s">
        <v>40</v>
      </c>
      <c r="B53" s="6" t="s">
        <v>61</v>
      </c>
      <c r="C53" s="8" t="s">
        <v>15</v>
      </c>
      <c r="D53" s="3" t="s">
        <v>67</v>
      </c>
      <c r="E53" s="7">
        <v>1036565</v>
      </c>
      <c r="F53" s="14">
        <f t="shared" si="0"/>
        <v>0.17422930544635407</v>
      </c>
      <c r="G53" s="7">
        <v>180600</v>
      </c>
      <c r="H53" s="14">
        <f t="shared" si="1"/>
        <v>0.62665631195342308</v>
      </c>
      <c r="I53" s="7">
        <v>649570</v>
      </c>
      <c r="J53" s="14">
        <f t="shared" si="2"/>
        <v>0.12999667169931456</v>
      </c>
      <c r="K53" s="7">
        <v>134750</v>
      </c>
      <c r="L53" s="14">
        <f t="shared" si="3"/>
        <v>7.5200300994148943E-3</v>
      </c>
      <c r="M53" s="7">
        <v>7795</v>
      </c>
      <c r="N53" s="14">
        <f t="shared" si="4"/>
        <v>3.9978197218698296E-2</v>
      </c>
      <c r="O53" s="7">
        <v>41440</v>
      </c>
      <c r="P53" s="14">
        <f t="shared" si="5"/>
        <v>1.7847409472633168E-3</v>
      </c>
      <c r="Q53" s="7">
        <v>1850</v>
      </c>
      <c r="R53" s="14">
        <f t="shared" si="6"/>
        <v>0.31353074819234683</v>
      </c>
      <c r="S53" s="3">
        <f t="shared" si="7"/>
        <v>324995</v>
      </c>
      <c r="T53" s="14">
        <f t="shared" si="8"/>
        <v>0.35350894541104516</v>
      </c>
      <c r="U53" s="5">
        <f t="shared" si="9"/>
        <v>366435</v>
      </c>
      <c r="V53" s="14">
        <f t="shared" si="10"/>
        <v>0.66663450917212141</v>
      </c>
      <c r="W53" s="5">
        <f t="shared" si="11"/>
        <v>691010</v>
      </c>
      <c r="X53" s="7">
        <v>20555</v>
      </c>
    </row>
    <row r="54" spans="1:24">
      <c r="A54" t="s">
        <v>40</v>
      </c>
      <c r="B54" s="6" t="s">
        <v>62</v>
      </c>
      <c r="C54" s="8" t="s">
        <v>27</v>
      </c>
      <c r="D54" s="3" t="s">
        <v>67</v>
      </c>
      <c r="E54" s="7">
        <v>2865240</v>
      </c>
      <c r="F54" s="14">
        <f t="shared" si="0"/>
        <v>6.5285979534000643E-2</v>
      </c>
      <c r="G54" s="7">
        <v>187060</v>
      </c>
      <c r="H54" s="14">
        <f t="shared" si="1"/>
        <v>0.71875130879088667</v>
      </c>
      <c r="I54" s="7">
        <v>2059395</v>
      </c>
      <c r="J54" s="14">
        <f t="shared" si="2"/>
        <v>0.11147059234130474</v>
      </c>
      <c r="K54" s="7">
        <v>319390</v>
      </c>
      <c r="L54" s="14">
        <f t="shared" si="3"/>
        <v>3.8077089528276865E-3</v>
      </c>
      <c r="M54" s="7">
        <v>10910</v>
      </c>
      <c r="N54" s="14">
        <f t="shared" si="4"/>
        <v>8.2671957671957674E-2</v>
      </c>
      <c r="O54" s="7">
        <v>236875</v>
      </c>
      <c r="P54" s="14">
        <f t="shared" si="5"/>
        <v>9.1615362063910875E-4</v>
      </c>
      <c r="Q54" s="7">
        <v>2625</v>
      </c>
      <c r="R54" s="14">
        <f t="shared" si="6"/>
        <v>0.18148043444877218</v>
      </c>
      <c r="S54" s="3">
        <f t="shared" si="7"/>
        <v>519985</v>
      </c>
      <c r="T54" s="14">
        <f t="shared" si="8"/>
        <v>0.26415239212072983</v>
      </c>
      <c r="U54" s="5">
        <f t="shared" si="9"/>
        <v>756860</v>
      </c>
      <c r="V54" s="14">
        <f t="shared" si="10"/>
        <v>0.80142326646284434</v>
      </c>
      <c r="W54" s="5">
        <f t="shared" si="11"/>
        <v>2296270</v>
      </c>
      <c r="X54" s="7">
        <v>48990</v>
      </c>
    </row>
    <row r="55" spans="1:24">
      <c r="A55" t="s">
        <v>40</v>
      </c>
      <c r="B55" s="6" t="s">
        <v>63</v>
      </c>
      <c r="C55" s="8" t="s">
        <v>27</v>
      </c>
      <c r="D55" s="3" t="s">
        <v>67</v>
      </c>
      <c r="E55" s="7">
        <v>166055</v>
      </c>
      <c r="F55" s="14">
        <f t="shared" si="0"/>
        <v>4.3419349010869891E-2</v>
      </c>
      <c r="G55" s="7">
        <v>7210</v>
      </c>
      <c r="H55" s="14">
        <f t="shared" si="1"/>
        <v>0.81497094336213904</v>
      </c>
      <c r="I55" s="7">
        <v>135330</v>
      </c>
      <c r="J55" s="14">
        <f t="shared" si="2"/>
        <v>7.0458582999608568E-2</v>
      </c>
      <c r="K55" s="7">
        <v>11700</v>
      </c>
      <c r="L55" s="14">
        <f t="shared" si="3"/>
        <v>2.0475143777664026E-3</v>
      </c>
      <c r="M55" s="6">
        <v>340</v>
      </c>
      <c r="N55" s="14">
        <f t="shared" si="4"/>
        <v>5.4530125560808163E-2</v>
      </c>
      <c r="O55" s="7">
        <v>9055</v>
      </c>
      <c r="P55" s="14">
        <f t="shared" si="5"/>
        <v>1.5055252777694138E-4</v>
      </c>
      <c r="Q55" s="6">
        <v>25</v>
      </c>
      <c r="R55" s="14">
        <f t="shared" si="6"/>
        <v>0.1160759989160218</v>
      </c>
      <c r="S55" s="3">
        <f t="shared" si="7"/>
        <v>19275</v>
      </c>
      <c r="T55" s="14">
        <f t="shared" si="8"/>
        <v>0.17060612447682996</v>
      </c>
      <c r="U55" s="5">
        <f t="shared" si="9"/>
        <v>28330</v>
      </c>
      <c r="V55" s="14">
        <f t="shared" si="10"/>
        <v>0.86950106892294721</v>
      </c>
      <c r="W55" s="5">
        <f t="shared" si="11"/>
        <v>144385</v>
      </c>
      <c r="X55" s="7">
        <v>2400</v>
      </c>
    </row>
    <row r="56" spans="1:24">
      <c r="A56" t="s">
        <v>40</v>
      </c>
      <c r="B56" s="6" t="s">
        <v>64</v>
      </c>
      <c r="C56" s="8" t="s">
        <v>27</v>
      </c>
      <c r="D56" s="3" t="s">
        <v>67</v>
      </c>
      <c r="E56" s="7">
        <v>3110470</v>
      </c>
      <c r="F56" s="14">
        <f t="shared" si="0"/>
        <v>0.17755516047414058</v>
      </c>
      <c r="G56" s="7">
        <v>552280</v>
      </c>
      <c r="H56" s="14">
        <f t="shared" si="1"/>
        <v>0.42937723237967251</v>
      </c>
      <c r="I56" s="7">
        <v>1335565</v>
      </c>
      <c r="J56" s="14">
        <f t="shared" si="2"/>
        <v>0.30133388201783012</v>
      </c>
      <c r="K56" s="7">
        <v>937290</v>
      </c>
      <c r="L56" s="14">
        <f t="shared" si="3"/>
        <v>8.6626779875710099E-3</v>
      </c>
      <c r="M56" s="7">
        <v>26945</v>
      </c>
      <c r="N56" s="14">
        <f t="shared" si="4"/>
        <v>5.6784022993309695E-2</v>
      </c>
      <c r="O56" s="7">
        <v>176625</v>
      </c>
      <c r="P56" s="14">
        <f t="shared" si="5"/>
        <v>2.85969644458876E-3</v>
      </c>
      <c r="Q56" s="7">
        <v>8895</v>
      </c>
      <c r="R56" s="14">
        <f t="shared" si="6"/>
        <v>0.49041141692413043</v>
      </c>
      <c r="S56" s="3">
        <f t="shared" si="7"/>
        <v>1525410</v>
      </c>
      <c r="T56" s="14">
        <f t="shared" si="8"/>
        <v>0.54719543991744013</v>
      </c>
      <c r="U56" s="5">
        <f t="shared" si="9"/>
        <v>1702035</v>
      </c>
      <c r="V56" s="14">
        <f t="shared" si="10"/>
        <v>0.48616125537298222</v>
      </c>
      <c r="W56" s="5">
        <f t="shared" si="11"/>
        <v>1512190</v>
      </c>
      <c r="X56" s="7">
        <v>72875</v>
      </c>
    </row>
    <row r="57" spans="1:24">
      <c r="A57" t="s">
        <v>40</v>
      </c>
      <c r="B57" s="6" t="s">
        <v>65</v>
      </c>
      <c r="C57" s="8" t="s">
        <v>19</v>
      </c>
      <c r="D57" s="3" t="s">
        <v>67</v>
      </c>
      <c r="E57" s="7">
        <v>1132450</v>
      </c>
      <c r="F57" s="14">
        <f t="shared" si="0"/>
        <v>0.14177226367610049</v>
      </c>
      <c r="G57" s="7">
        <v>160550</v>
      </c>
      <c r="H57" s="14">
        <f t="shared" si="1"/>
        <v>0.56493443419135503</v>
      </c>
      <c r="I57" s="7">
        <v>639760</v>
      </c>
      <c r="J57" s="14">
        <f t="shared" si="2"/>
        <v>9.5876197624619186E-2</v>
      </c>
      <c r="K57" s="7">
        <v>108575</v>
      </c>
      <c r="L57" s="14">
        <f t="shared" si="3"/>
        <v>3.7838315157402093E-3</v>
      </c>
      <c r="M57" s="7">
        <v>4285</v>
      </c>
      <c r="N57" s="14">
        <f t="shared" si="4"/>
        <v>0.17421519713894654</v>
      </c>
      <c r="O57" s="7">
        <v>197290</v>
      </c>
      <c r="P57" s="14">
        <f t="shared" si="5"/>
        <v>9.7134531325886349E-4</v>
      </c>
      <c r="Q57" s="7">
        <v>1100</v>
      </c>
      <c r="R57" s="14">
        <f t="shared" si="6"/>
        <v>0.24240363812971874</v>
      </c>
      <c r="S57" s="3">
        <f t="shared" si="7"/>
        <v>274510</v>
      </c>
      <c r="T57" s="14">
        <f t="shared" si="8"/>
        <v>0.41661883526866528</v>
      </c>
      <c r="U57" s="5">
        <f t="shared" si="9"/>
        <v>471800</v>
      </c>
      <c r="V57" s="14">
        <f t="shared" si="10"/>
        <v>0.73914963133030154</v>
      </c>
      <c r="W57" s="5">
        <f t="shared" si="11"/>
        <v>837050</v>
      </c>
      <c r="X57" s="7">
        <v>20890</v>
      </c>
    </row>
    <row r="58" spans="1:24">
      <c r="A58" t="s">
        <v>3</v>
      </c>
      <c r="B58" s="3" t="s">
        <v>4</v>
      </c>
      <c r="C58" s="3" t="s">
        <v>5</v>
      </c>
      <c r="D58" s="10" t="s">
        <v>68</v>
      </c>
      <c r="E58" s="12">
        <v>123200</v>
      </c>
      <c r="F58" s="14">
        <f t="shared" si="0"/>
        <v>1.7370129870129869E-2</v>
      </c>
      <c r="G58" s="12">
        <v>2140</v>
      </c>
      <c r="H58" s="14">
        <f t="shared" si="1"/>
        <v>0.76517857142857137</v>
      </c>
      <c r="I58" s="12">
        <v>94270</v>
      </c>
      <c r="J58" s="14">
        <f t="shared" si="2"/>
        <v>3.8189935064935066E-2</v>
      </c>
      <c r="K58" s="12">
        <v>4705</v>
      </c>
      <c r="L58" s="14">
        <f t="shared" si="3"/>
        <v>2.5974025974025974E-3</v>
      </c>
      <c r="M58" s="9">
        <v>320</v>
      </c>
      <c r="N58" s="14">
        <f t="shared" si="4"/>
        <v>0.12682629870129869</v>
      </c>
      <c r="O58" s="13">
        <v>15625</v>
      </c>
      <c r="P58" s="14">
        <f t="shared" si="5"/>
        <v>1.1363636363636363E-3</v>
      </c>
      <c r="Q58" s="9">
        <v>140</v>
      </c>
      <c r="R58" s="14">
        <f t="shared" si="6"/>
        <v>5.9293831168831169E-2</v>
      </c>
      <c r="S58" s="3">
        <f t="shared" si="7"/>
        <v>7305</v>
      </c>
      <c r="T58" s="14">
        <f t="shared" si="8"/>
        <v>0.18612012987012988</v>
      </c>
      <c r="U58" s="5">
        <f t="shared" si="9"/>
        <v>22930</v>
      </c>
      <c r="V58" s="14">
        <f t="shared" si="10"/>
        <v>0.89200487012987018</v>
      </c>
      <c r="W58" s="5">
        <f t="shared" si="11"/>
        <v>109895</v>
      </c>
      <c r="X58" s="9">
        <v>720</v>
      </c>
    </row>
    <row r="59" spans="1:24">
      <c r="A59" t="s">
        <v>3</v>
      </c>
      <c r="B59" s="3" t="s">
        <v>6</v>
      </c>
      <c r="C59" s="3" t="s">
        <v>5</v>
      </c>
      <c r="D59" s="10" t="s">
        <v>68</v>
      </c>
      <c r="E59" s="12">
        <v>11575</v>
      </c>
      <c r="F59" s="14">
        <f t="shared" si="0"/>
        <v>1.7710583153347732E-2</v>
      </c>
      <c r="G59" s="9">
        <v>205</v>
      </c>
      <c r="H59" s="14">
        <f t="shared" si="1"/>
        <v>0.77537796976241902</v>
      </c>
      <c r="I59" s="12">
        <v>8975</v>
      </c>
      <c r="J59" s="14">
        <f t="shared" si="2"/>
        <v>5.874730021598272E-2</v>
      </c>
      <c r="K59" s="9">
        <v>680</v>
      </c>
      <c r="L59" s="14">
        <f t="shared" si="3"/>
        <v>3.0237580993520518E-3</v>
      </c>
      <c r="M59" s="9">
        <v>35</v>
      </c>
      <c r="N59" s="14">
        <f t="shared" si="4"/>
        <v>0.10539956803455723</v>
      </c>
      <c r="O59" s="13">
        <v>1220</v>
      </c>
      <c r="P59" s="14">
        <f t="shared" si="5"/>
        <v>0</v>
      </c>
      <c r="Q59" s="9">
        <v>0</v>
      </c>
      <c r="R59" s="14">
        <f t="shared" si="6"/>
        <v>7.9481641468682501E-2</v>
      </c>
      <c r="S59" s="3">
        <f t="shared" si="7"/>
        <v>920</v>
      </c>
      <c r="T59" s="14">
        <f t="shared" si="8"/>
        <v>0.18488120950323975</v>
      </c>
      <c r="U59" s="5">
        <f t="shared" si="9"/>
        <v>2140</v>
      </c>
      <c r="V59" s="14">
        <f t="shared" si="10"/>
        <v>0.88077753779697621</v>
      </c>
      <c r="W59" s="5">
        <f t="shared" si="11"/>
        <v>10195</v>
      </c>
      <c r="X59" s="9">
        <v>40</v>
      </c>
    </row>
    <row r="60" spans="1:24">
      <c r="A60" t="s">
        <v>3</v>
      </c>
      <c r="B60" s="3" t="s">
        <v>7</v>
      </c>
      <c r="C60" s="3" t="s">
        <v>5</v>
      </c>
      <c r="D60" s="10" t="s">
        <v>68</v>
      </c>
      <c r="E60" s="12">
        <v>51375</v>
      </c>
      <c r="F60" s="14">
        <f t="shared" si="0"/>
        <v>1.3527980535279805E-2</v>
      </c>
      <c r="G60" s="9">
        <v>695</v>
      </c>
      <c r="H60" s="14">
        <f t="shared" si="1"/>
        <v>0.77878345498783452</v>
      </c>
      <c r="I60" s="12">
        <v>40010</v>
      </c>
      <c r="J60" s="14">
        <f t="shared" si="2"/>
        <v>4.9343065693430659E-2</v>
      </c>
      <c r="K60" s="12">
        <v>2535</v>
      </c>
      <c r="L60" s="14">
        <f t="shared" si="3"/>
        <v>1.4598540145985401E-3</v>
      </c>
      <c r="M60" s="9">
        <v>75</v>
      </c>
      <c r="N60" s="14">
        <f t="shared" si="4"/>
        <v>0.11474452554744526</v>
      </c>
      <c r="O60" s="13">
        <v>5895</v>
      </c>
      <c r="P60" s="14">
        <f t="shared" si="5"/>
        <v>7.7858880778588802E-5</v>
      </c>
      <c r="Q60" s="9">
        <v>4</v>
      </c>
      <c r="R60" s="14">
        <f t="shared" si="6"/>
        <v>6.4408759124087597E-2</v>
      </c>
      <c r="S60" s="3">
        <f t="shared" si="7"/>
        <v>3309</v>
      </c>
      <c r="T60" s="14">
        <f t="shared" si="8"/>
        <v>0.17915328467153285</v>
      </c>
      <c r="U60" s="5">
        <f t="shared" si="9"/>
        <v>9204</v>
      </c>
      <c r="V60" s="14">
        <f t="shared" si="10"/>
        <v>0.89352798053527982</v>
      </c>
      <c r="W60" s="5">
        <f t="shared" si="11"/>
        <v>45905</v>
      </c>
      <c r="X60" s="9">
        <v>150</v>
      </c>
    </row>
    <row r="61" spans="1:24">
      <c r="A61" t="s">
        <v>3</v>
      </c>
      <c r="B61" s="3" t="s">
        <v>8</v>
      </c>
      <c r="C61" s="3" t="s">
        <v>5</v>
      </c>
      <c r="D61" s="10" t="s">
        <v>68</v>
      </c>
      <c r="E61" s="12">
        <v>281770</v>
      </c>
      <c r="F61" s="14">
        <f t="shared" si="0"/>
        <v>1.6662526173829718E-2</v>
      </c>
      <c r="G61" s="12">
        <v>4695</v>
      </c>
      <c r="H61" s="14">
        <f t="shared" si="1"/>
        <v>0.79266777868474292</v>
      </c>
      <c r="I61" s="12">
        <v>223350</v>
      </c>
      <c r="J61" s="14">
        <f t="shared" si="2"/>
        <v>4.2871845831706709E-2</v>
      </c>
      <c r="K61" s="12">
        <v>12080</v>
      </c>
      <c r="L61" s="14">
        <f t="shared" si="3"/>
        <v>2.5552755793732478E-3</v>
      </c>
      <c r="M61" s="9">
        <v>720</v>
      </c>
      <c r="N61" s="14">
        <f t="shared" si="4"/>
        <v>0.10125279483266494</v>
      </c>
      <c r="O61" s="13">
        <v>28530</v>
      </c>
      <c r="P61" s="14">
        <f t="shared" si="5"/>
        <v>9.0499343436135861E-4</v>
      </c>
      <c r="Q61" s="9">
        <v>255</v>
      </c>
      <c r="R61" s="14">
        <f t="shared" si="6"/>
        <v>6.2994641019271033E-2</v>
      </c>
      <c r="S61" s="3">
        <f t="shared" si="7"/>
        <v>17750</v>
      </c>
      <c r="T61" s="14">
        <f t="shared" si="8"/>
        <v>0.16424743585193596</v>
      </c>
      <c r="U61" s="5">
        <f t="shared" si="9"/>
        <v>46280</v>
      </c>
      <c r="V61" s="14">
        <f t="shared" si="10"/>
        <v>0.89392057351740783</v>
      </c>
      <c r="W61" s="5">
        <f t="shared" si="11"/>
        <v>251880</v>
      </c>
      <c r="X61" s="9">
        <v>850</v>
      </c>
    </row>
    <row r="62" spans="1:24">
      <c r="A62" t="s">
        <v>3</v>
      </c>
      <c r="B62" s="3" t="s">
        <v>9</v>
      </c>
      <c r="C62" s="3" t="s">
        <v>5</v>
      </c>
      <c r="D62" s="10" t="s">
        <v>68</v>
      </c>
      <c r="E62" s="12">
        <v>55415</v>
      </c>
      <c r="F62" s="14">
        <f t="shared" si="0"/>
        <v>1.9940449336822159E-2</v>
      </c>
      <c r="G62" s="12">
        <v>1105</v>
      </c>
      <c r="H62" s="14">
        <f t="shared" si="1"/>
        <v>0.63872597672110443</v>
      </c>
      <c r="I62" s="12">
        <v>35395</v>
      </c>
      <c r="J62" s="14">
        <f t="shared" si="2"/>
        <v>6.2528196336731928E-2</v>
      </c>
      <c r="K62" s="12">
        <v>3465</v>
      </c>
      <c r="L62" s="14">
        <f t="shared" si="3"/>
        <v>4.7820987097356308E-3</v>
      </c>
      <c r="M62" s="9">
        <v>265</v>
      </c>
      <c r="N62" s="14">
        <f t="shared" si="4"/>
        <v>0.22340521519444193</v>
      </c>
      <c r="O62" s="13">
        <v>12380</v>
      </c>
      <c r="P62" s="14">
        <f t="shared" si="5"/>
        <v>7.2182622033745375E-5</v>
      </c>
      <c r="Q62" s="9">
        <v>4</v>
      </c>
      <c r="R62" s="14">
        <f t="shared" si="6"/>
        <v>8.7322927005323472E-2</v>
      </c>
      <c r="S62" s="3">
        <f t="shared" si="7"/>
        <v>4839</v>
      </c>
      <c r="T62" s="14">
        <f t="shared" si="8"/>
        <v>0.31072814219976541</v>
      </c>
      <c r="U62" s="5">
        <f t="shared" si="9"/>
        <v>17219</v>
      </c>
      <c r="V62" s="14">
        <f t="shared" si="10"/>
        <v>0.86213119191554632</v>
      </c>
      <c r="W62" s="5">
        <f t="shared" si="11"/>
        <v>47775</v>
      </c>
      <c r="X62" s="9">
        <v>240</v>
      </c>
    </row>
    <row r="63" spans="1:24">
      <c r="A63" t="s">
        <v>3</v>
      </c>
      <c r="B63" s="3" t="s">
        <v>10</v>
      </c>
      <c r="C63" s="3" t="s">
        <v>11</v>
      </c>
      <c r="D63" s="10" t="s">
        <v>68</v>
      </c>
      <c r="E63" s="12">
        <v>213765</v>
      </c>
      <c r="F63" s="14">
        <f t="shared" si="0"/>
        <v>4.5026080041166705E-2</v>
      </c>
      <c r="G63" s="12">
        <v>9625</v>
      </c>
      <c r="H63" s="14">
        <f t="shared" si="1"/>
        <v>0.60283488877973479</v>
      </c>
      <c r="I63" s="12">
        <v>128865</v>
      </c>
      <c r="J63" s="14">
        <f t="shared" si="2"/>
        <v>0.24049774284845507</v>
      </c>
      <c r="K63" s="12">
        <v>51410</v>
      </c>
      <c r="L63" s="14">
        <f t="shared" si="3"/>
        <v>1.0829649381329964E-2</v>
      </c>
      <c r="M63" s="12">
        <v>2315</v>
      </c>
      <c r="N63" s="14">
        <f t="shared" si="4"/>
        <v>3.2044534886440719E-2</v>
      </c>
      <c r="O63" s="13">
        <v>6850</v>
      </c>
      <c r="P63" s="14">
        <f t="shared" si="5"/>
        <v>2.7834304025448507E-3</v>
      </c>
      <c r="Q63" s="9">
        <v>595</v>
      </c>
      <c r="R63" s="14">
        <f t="shared" si="6"/>
        <v>0.29913690267349657</v>
      </c>
      <c r="S63" s="3">
        <f t="shared" si="7"/>
        <v>63945</v>
      </c>
      <c r="T63" s="14">
        <f t="shared" si="8"/>
        <v>0.33118143755993734</v>
      </c>
      <c r="U63" s="5">
        <f t="shared" si="9"/>
        <v>70795</v>
      </c>
      <c r="V63" s="14">
        <f t="shared" si="10"/>
        <v>0.63487942366617545</v>
      </c>
      <c r="W63" s="5">
        <f t="shared" si="11"/>
        <v>135715</v>
      </c>
      <c r="X63" s="9">
        <v>2050</v>
      </c>
    </row>
    <row r="64" spans="1:24">
      <c r="A64" t="s">
        <v>3</v>
      </c>
      <c r="B64" s="3" t="s">
        <v>12</v>
      </c>
      <c r="C64" s="3" t="s">
        <v>5</v>
      </c>
      <c r="D64" s="10" t="s">
        <v>68</v>
      </c>
      <c r="E64" s="12">
        <v>170365</v>
      </c>
      <c r="F64" s="14">
        <f t="shared" si="0"/>
        <v>3.715551903266516E-2</v>
      </c>
      <c r="G64" s="12">
        <v>6330</v>
      </c>
      <c r="H64" s="14">
        <f t="shared" si="1"/>
        <v>0.79241628268717168</v>
      </c>
      <c r="I64" s="12">
        <v>135000</v>
      </c>
      <c r="J64" s="14">
        <f t="shared" si="2"/>
        <v>3.8065330320194879E-2</v>
      </c>
      <c r="K64" s="12">
        <v>6485</v>
      </c>
      <c r="L64" s="14">
        <f t="shared" si="3"/>
        <v>3.9620814134358586E-3</v>
      </c>
      <c r="M64" s="9">
        <v>675</v>
      </c>
      <c r="N64" s="14">
        <f t="shared" si="4"/>
        <v>5.7230064860740178E-2</v>
      </c>
      <c r="O64" s="13">
        <v>9750</v>
      </c>
      <c r="P64" s="14">
        <f t="shared" si="5"/>
        <v>6.7502127784462766E-4</v>
      </c>
      <c r="Q64" s="9">
        <v>115</v>
      </c>
      <c r="R64" s="14">
        <f t="shared" si="6"/>
        <v>7.9857952044140521E-2</v>
      </c>
      <c r="S64" s="3">
        <f t="shared" si="7"/>
        <v>13605</v>
      </c>
      <c r="T64" s="14">
        <f t="shared" si="8"/>
        <v>0.13708801690488071</v>
      </c>
      <c r="U64" s="5">
        <f t="shared" si="9"/>
        <v>23355</v>
      </c>
      <c r="V64" s="14">
        <f t="shared" si="10"/>
        <v>0.8496463475479118</v>
      </c>
      <c r="W64" s="5">
        <f t="shared" si="11"/>
        <v>144750</v>
      </c>
      <c r="X64" s="9">
        <v>950</v>
      </c>
    </row>
    <row r="65" spans="1:24">
      <c r="A65" t="s">
        <v>3</v>
      </c>
      <c r="B65" s="3" t="s">
        <v>13</v>
      </c>
      <c r="C65" s="3" t="s">
        <v>5</v>
      </c>
      <c r="D65" s="10" t="s">
        <v>68</v>
      </c>
      <c r="E65" s="12">
        <v>220100</v>
      </c>
      <c r="F65" s="14">
        <f t="shared" si="0"/>
        <v>1.8446160835983643E-2</v>
      </c>
      <c r="G65" s="12">
        <v>4060</v>
      </c>
      <c r="H65" s="14">
        <f t="shared" si="1"/>
        <v>0.72739663789186737</v>
      </c>
      <c r="I65" s="12">
        <v>160100</v>
      </c>
      <c r="J65" s="14">
        <f t="shared" si="2"/>
        <v>4.7228532485233982E-2</v>
      </c>
      <c r="K65" s="12">
        <v>10395</v>
      </c>
      <c r="L65" s="14">
        <f t="shared" si="3"/>
        <v>2.3398455247614722E-3</v>
      </c>
      <c r="M65" s="9">
        <v>515</v>
      </c>
      <c r="N65" s="14">
        <f t="shared" si="4"/>
        <v>0.15774647887323945</v>
      </c>
      <c r="O65" s="13">
        <v>34720</v>
      </c>
      <c r="P65" s="14">
        <f t="shared" si="5"/>
        <v>5.9064061790095406E-4</v>
      </c>
      <c r="Q65" s="9">
        <v>130</v>
      </c>
      <c r="R65" s="14">
        <f t="shared" si="6"/>
        <v>6.8605179463880048E-2</v>
      </c>
      <c r="S65" s="3">
        <f t="shared" si="7"/>
        <v>15100</v>
      </c>
      <c r="T65" s="14">
        <f t="shared" si="8"/>
        <v>0.22635165833711948</v>
      </c>
      <c r="U65" s="5">
        <f t="shared" si="9"/>
        <v>49820</v>
      </c>
      <c r="V65" s="14">
        <f t="shared" si="10"/>
        <v>0.88514311676510682</v>
      </c>
      <c r="W65" s="5">
        <f t="shared" si="11"/>
        <v>194820</v>
      </c>
      <c r="X65" s="9">
        <v>870</v>
      </c>
    </row>
    <row r="66" spans="1:24">
      <c r="A66" t="s">
        <v>3</v>
      </c>
      <c r="B66" s="3" t="s">
        <v>14</v>
      </c>
      <c r="C66" s="10" t="s">
        <v>15</v>
      </c>
      <c r="D66" s="10" t="s">
        <v>68</v>
      </c>
      <c r="E66" s="12">
        <v>714765</v>
      </c>
      <c r="F66" s="14">
        <f t="shared" si="0"/>
        <v>2.5644792344336951E-2</v>
      </c>
      <c r="G66" s="12">
        <v>18330</v>
      </c>
      <c r="H66" s="14">
        <f t="shared" si="1"/>
        <v>0.79575804635089853</v>
      </c>
      <c r="I66" s="12">
        <v>568780</v>
      </c>
      <c r="J66" s="14">
        <f t="shared" si="2"/>
        <v>8.8350716669115023E-2</v>
      </c>
      <c r="K66" s="12">
        <v>63150</v>
      </c>
      <c r="L66" s="14">
        <f t="shared" si="3"/>
        <v>4.2531461389407705E-3</v>
      </c>
      <c r="M66" s="12">
        <v>3040</v>
      </c>
      <c r="N66" s="14">
        <f t="shared" si="4"/>
        <v>2.239197498478521E-2</v>
      </c>
      <c r="O66" s="13">
        <v>16005</v>
      </c>
      <c r="P66" s="14">
        <f t="shared" si="5"/>
        <v>5.1065734891887543E-4</v>
      </c>
      <c r="Q66" s="9">
        <v>365</v>
      </c>
      <c r="R66" s="14">
        <f t="shared" si="6"/>
        <v>0.11875931250131162</v>
      </c>
      <c r="S66" s="3">
        <f t="shared" si="7"/>
        <v>84885</v>
      </c>
      <c r="T66" s="14">
        <f t="shared" si="8"/>
        <v>0.14115128748609682</v>
      </c>
      <c r="U66" s="5">
        <f t="shared" si="9"/>
        <v>100890</v>
      </c>
      <c r="V66" s="14">
        <f t="shared" si="10"/>
        <v>0.81815002133568371</v>
      </c>
      <c r="W66" s="5">
        <f t="shared" si="11"/>
        <v>584785</v>
      </c>
      <c r="X66" s="9">
        <v>4080</v>
      </c>
    </row>
    <row r="67" spans="1:24">
      <c r="A67" t="s">
        <v>3</v>
      </c>
      <c r="B67" s="3" t="s">
        <v>16</v>
      </c>
      <c r="C67" s="3" t="s">
        <v>5</v>
      </c>
      <c r="D67" s="10" t="s">
        <v>68</v>
      </c>
      <c r="E67" s="12">
        <v>353240</v>
      </c>
      <c r="F67" s="14">
        <f t="shared" ref="F67:F113" si="12">G67/E67</f>
        <v>3.8231797078473559E-2</v>
      </c>
      <c r="G67" s="12">
        <v>13505</v>
      </c>
      <c r="H67" s="14">
        <f t="shared" ref="H67:H113" si="13">I67/E67</f>
        <v>0.72537085267806589</v>
      </c>
      <c r="I67" s="12">
        <v>256230</v>
      </c>
      <c r="J67" s="14">
        <f t="shared" ref="J67:J113" si="14">K67/E67</f>
        <v>8.6626656097837165E-2</v>
      </c>
      <c r="K67" s="12">
        <v>30600</v>
      </c>
      <c r="L67" s="14">
        <f t="shared" ref="L67:L113" si="15">M67/E67</f>
        <v>5.1239950175518065E-3</v>
      </c>
      <c r="M67" s="12">
        <v>1810</v>
      </c>
      <c r="N67" s="14">
        <f t="shared" ref="N67:N113" si="16">O67/E67</f>
        <v>7.1721775563356363E-2</v>
      </c>
      <c r="O67" s="13">
        <v>25335</v>
      </c>
      <c r="P67" s="14">
        <f t="shared" ref="P67:P113" si="17">Q67/E67</f>
        <v>1.5994791076888234E-3</v>
      </c>
      <c r="Q67" s="9">
        <v>565</v>
      </c>
      <c r="R67" s="14">
        <f t="shared" ref="R67:R113" si="18">S67/E67</f>
        <v>0.13158192730155135</v>
      </c>
      <c r="S67" s="3">
        <f t="shared" ref="S67:S113" si="19">K67+G67+M67+Q67</f>
        <v>46480</v>
      </c>
      <c r="T67" s="14">
        <f t="shared" ref="T67:T113" si="20">U67/E67</f>
        <v>0.2033037028649077</v>
      </c>
      <c r="U67" s="5">
        <f t="shared" ref="U67:U113" si="21">S67+O67</f>
        <v>71815</v>
      </c>
      <c r="V67" s="14">
        <f t="shared" ref="V67:V113" si="22">W67/E67</f>
        <v>0.79709262824142224</v>
      </c>
      <c r="W67" s="5">
        <f t="shared" ref="W67:W113" si="23">O67+I67</f>
        <v>281565</v>
      </c>
      <c r="X67" s="9">
        <v>2440</v>
      </c>
    </row>
    <row r="68" spans="1:24">
      <c r="A68" t="s">
        <v>3</v>
      </c>
      <c r="B68" s="3" t="s">
        <v>17</v>
      </c>
      <c r="C68" s="3" t="s">
        <v>5</v>
      </c>
      <c r="D68" s="10" t="s">
        <v>68</v>
      </c>
      <c r="E68" s="12">
        <v>25790</v>
      </c>
      <c r="F68" s="14">
        <f t="shared" si="12"/>
        <v>1.7448623497479644E-2</v>
      </c>
      <c r="G68" s="9">
        <v>450</v>
      </c>
      <c r="H68" s="14">
        <f t="shared" si="13"/>
        <v>0.79313687475765804</v>
      </c>
      <c r="I68" s="12">
        <v>20455</v>
      </c>
      <c r="J68" s="14">
        <f t="shared" si="14"/>
        <v>6.4366033346258233E-2</v>
      </c>
      <c r="K68" s="12">
        <v>1660</v>
      </c>
      <c r="L68" s="14">
        <f t="shared" si="15"/>
        <v>4.2652190771616909E-3</v>
      </c>
      <c r="M68" s="9">
        <v>110</v>
      </c>
      <c r="N68" s="14">
        <f t="shared" si="16"/>
        <v>8.7824738270647532E-2</v>
      </c>
      <c r="O68" s="13">
        <v>2265</v>
      </c>
      <c r="P68" s="14">
        <f t="shared" si="17"/>
        <v>1.5509887553315238E-4</v>
      </c>
      <c r="Q68" s="9">
        <v>4</v>
      </c>
      <c r="R68" s="14">
        <f t="shared" si="18"/>
        <v>8.6234974796432731E-2</v>
      </c>
      <c r="S68" s="3">
        <f t="shared" si="19"/>
        <v>2224</v>
      </c>
      <c r="T68" s="14">
        <f t="shared" si="20"/>
        <v>0.17405971306708026</v>
      </c>
      <c r="U68" s="5">
        <f t="shared" si="21"/>
        <v>4489</v>
      </c>
      <c r="V68" s="14">
        <f t="shared" si="22"/>
        <v>0.88096161302830556</v>
      </c>
      <c r="W68" s="5">
        <f t="shared" si="23"/>
        <v>22720</v>
      </c>
      <c r="X68" s="9">
        <v>80</v>
      </c>
    </row>
    <row r="69" spans="1:24">
      <c r="A69" t="s">
        <v>3</v>
      </c>
      <c r="B69" s="3" t="s">
        <v>18</v>
      </c>
      <c r="C69" s="3" t="s">
        <v>19</v>
      </c>
      <c r="D69" s="10" t="s">
        <v>68</v>
      </c>
      <c r="E69" s="12">
        <v>64580</v>
      </c>
      <c r="F69" s="14">
        <f t="shared" si="12"/>
        <v>7.1771446268194483E-2</v>
      </c>
      <c r="G69" s="12">
        <v>4635</v>
      </c>
      <c r="H69" s="14">
        <f t="shared" si="13"/>
        <v>0.62805822235986375</v>
      </c>
      <c r="I69" s="12">
        <v>40560</v>
      </c>
      <c r="J69" s="14">
        <f t="shared" si="14"/>
        <v>0.10622483741096314</v>
      </c>
      <c r="K69" s="12">
        <v>6860</v>
      </c>
      <c r="L69" s="14">
        <f t="shared" si="15"/>
        <v>4.0260142458965623E-3</v>
      </c>
      <c r="M69" s="9">
        <v>260</v>
      </c>
      <c r="N69" s="14">
        <f t="shared" si="16"/>
        <v>7.6184577268504181E-2</v>
      </c>
      <c r="O69" s="13">
        <v>4920</v>
      </c>
      <c r="P69" s="14">
        <f t="shared" si="17"/>
        <v>6.9681015794363578E-4</v>
      </c>
      <c r="Q69" s="9">
        <v>45</v>
      </c>
      <c r="R69" s="14">
        <f t="shared" si="18"/>
        <v>0.18271910808299782</v>
      </c>
      <c r="S69" s="3">
        <f t="shared" si="19"/>
        <v>11800</v>
      </c>
      <c r="T69" s="14">
        <f t="shared" si="20"/>
        <v>0.25890368535150199</v>
      </c>
      <c r="U69" s="5">
        <f t="shared" si="21"/>
        <v>16720</v>
      </c>
      <c r="V69" s="14">
        <f t="shared" si="22"/>
        <v>0.70424279962836789</v>
      </c>
      <c r="W69" s="5">
        <f t="shared" si="23"/>
        <v>45480</v>
      </c>
      <c r="X69" s="9">
        <v>685</v>
      </c>
    </row>
    <row r="70" spans="1:24">
      <c r="A70" t="s">
        <v>3</v>
      </c>
      <c r="B70" s="3" t="s">
        <v>20</v>
      </c>
      <c r="C70" s="10" t="s">
        <v>5</v>
      </c>
      <c r="D70" s="10" t="s">
        <v>68</v>
      </c>
      <c r="E70" s="12">
        <v>144700</v>
      </c>
      <c r="F70" s="14">
        <f t="shared" si="12"/>
        <v>1.8521078092605392E-2</v>
      </c>
      <c r="G70" s="12">
        <v>2680</v>
      </c>
      <c r="H70" s="14">
        <f t="shared" si="13"/>
        <v>0.80767104353835517</v>
      </c>
      <c r="I70" s="12">
        <v>116870</v>
      </c>
      <c r="J70" s="14">
        <f t="shared" si="14"/>
        <v>4.0152038700760194E-2</v>
      </c>
      <c r="K70" s="12">
        <v>5810</v>
      </c>
      <c r="L70" s="14">
        <f t="shared" si="15"/>
        <v>2.349689011748445E-3</v>
      </c>
      <c r="M70" s="9">
        <v>340</v>
      </c>
      <c r="N70" s="14">
        <f t="shared" si="16"/>
        <v>8.5314443676572219E-2</v>
      </c>
      <c r="O70" s="13">
        <v>12345</v>
      </c>
      <c r="P70" s="14">
        <f t="shared" si="17"/>
        <v>1.0020732550103664E-3</v>
      </c>
      <c r="Q70" s="9">
        <v>145</v>
      </c>
      <c r="R70" s="14">
        <f t="shared" si="18"/>
        <v>6.2024879060124397E-2</v>
      </c>
      <c r="S70" s="3">
        <f t="shared" si="19"/>
        <v>8975</v>
      </c>
      <c r="T70" s="14">
        <f t="shared" si="20"/>
        <v>0.14733932273669662</v>
      </c>
      <c r="U70" s="5">
        <f t="shared" si="21"/>
        <v>21320</v>
      </c>
      <c r="V70" s="14">
        <f t="shared" si="22"/>
        <v>0.89298548721492743</v>
      </c>
      <c r="W70" s="5">
        <f t="shared" si="23"/>
        <v>129215</v>
      </c>
      <c r="X70" s="9">
        <v>700</v>
      </c>
    </row>
    <row r="71" spans="1:24">
      <c r="A71" t="s">
        <v>3</v>
      </c>
      <c r="B71" s="3" t="s">
        <v>21</v>
      </c>
      <c r="C71" s="3" t="s">
        <v>5</v>
      </c>
      <c r="D71" s="10" t="s">
        <v>68</v>
      </c>
      <c r="E71" s="12">
        <v>10995</v>
      </c>
      <c r="F71" s="14">
        <f t="shared" si="12"/>
        <v>5.0022737608003635E-3</v>
      </c>
      <c r="G71" s="9">
        <v>55</v>
      </c>
      <c r="H71" s="14">
        <f t="shared" si="13"/>
        <v>0.82719417917235105</v>
      </c>
      <c r="I71" s="12">
        <v>9095</v>
      </c>
      <c r="J71" s="14">
        <f t="shared" si="14"/>
        <v>6.4574806730331974E-2</v>
      </c>
      <c r="K71" s="9">
        <v>710</v>
      </c>
      <c r="L71" s="14">
        <f t="shared" si="15"/>
        <v>5.4570259208731242E-3</v>
      </c>
      <c r="M71" s="9">
        <v>60</v>
      </c>
      <c r="N71" s="14">
        <f t="shared" si="16"/>
        <v>7.3669849931787171E-2</v>
      </c>
      <c r="O71" s="13">
        <v>810</v>
      </c>
      <c r="P71" s="14">
        <f t="shared" si="17"/>
        <v>3.6380172805820825E-4</v>
      </c>
      <c r="Q71" s="9">
        <v>4</v>
      </c>
      <c r="R71" s="14">
        <f t="shared" si="18"/>
        <v>7.5397908140063669E-2</v>
      </c>
      <c r="S71" s="3">
        <f t="shared" si="19"/>
        <v>829</v>
      </c>
      <c r="T71" s="14">
        <f t="shared" si="20"/>
        <v>0.14906775807185085</v>
      </c>
      <c r="U71" s="5">
        <f t="shared" si="21"/>
        <v>1639</v>
      </c>
      <c r="V71" s="14">
        <f t="shared" si="22"/>
        <v>0.90086402910413821</v>
      </c>
      <c r="W71" s="5">
        <f t="shared" si="23"/>
        <v>9905</v>
      </c>
      <c r="X71" s="9">
        <v>90</v>
      </c>
    </row>
    <row r="72" spans="1:24">
      <c r="A72" t="s">
        <v>3</v>
      </c>
      <c r="B72" s="3" t="s">
        <v>22</v>
      </c>
      <c r="C72" s="3" t="s">
        <v>5</v>
      </c>
      <c r="D72" s="10" t="s">
        <v>68</v>
      </c>
      <c r="E72" s="12">
        <v>28865</v>
      </c>
      <c r="F72" s="14">
        <f t="shared" si="12"/>
        <v>1.7322016282695307E-2</v>
      </c>
      <c r="G72" s="9">
        <v>500</v>
      </c>
      <c r="H72" s="14">
        <f t="shared" si="13"/>
        <v>0.76545989953230553</v>
      </c>
      <c r="I72" s="12">
        <v>22095</v>
      </c>
      <c r="J72" s="14">
        <f t="shared" si="14"/>
        <v>3.4817252728217563E-2</v>
      </c>
      <c r="K72" s="12">
        <v>1005</v>
      </c>
      <c r="L72" s="14">
        <f t="shared" si="15"/>
        <v>2.771522605231249E-3</v>
      </c>
      <c r="M72" s="9">
        <v>80</v>
      </c>
      <c r="N72" s="14">
        <f t="shared" si="16"/>
        <v>0.13961545123852417</v>
      </c>
      <c r="O72" s="13">
        <v>4030</v>
      </c>
      <c r="P72" s="14">
        <f t="shared" si="17"/>
        <v>1.7322016282695306E-3</v>
      </c>
      <c r="Q72" s="9">
        <v>50</v>
      </c>
      <c r="R72" s="14">
        <f t="shared" si="18"/>
        <v>5.6642993244413652E-2</v>
      </c>
      <c r="S72" s="3">
        <f t="shared" si="19"/>
        <v>1635</v>
      </c>
      <c r="T72" s="14">
        <f t="shared" si="20"/>
        <v>0.1962584444829378</v>
      </c>
      <c r="U72" s="5">
        <f t="shared" si="21"/>
        <v>5665</v>
      </c>
      <c r="V72" s="14">
        <f t="shared" si="22"/>
        <v>0.90507535077082968</v>
      </c>
      <c r="W72" s="5">
        <f t="shared" si="23"/>
        <v>26125</v>
      </c>
      <c r="X72" s="9">
        <v>134</v>
      </c>
    </row>
    <row r="73" spans="1:24">
      <c r="A73" t="s">
        <v>3</v>
      </c>
      <c r="B73" s="3" t="s">
        <v>23</v>
      </c>
      <c r="C73" s="3" t="s">
        <v>5</v>
      </c>
      <c r="D73" s="10" t="s">
        <v>68</v>
      </c>
      <c r="E73" s="12">
        <v>219865</v>
      </c>
      <c r="F73" s="14">
        <f t="shared" si="12"/>
        <v>1.8170240829599983E-2</v>
      </c>
      <c r="G73" s="12">
        <v>3995</v>
      </c>
      <c r="H73" s="14">
        <f t="shared" si="13"/>
        <v>0.80217406135583202</v>
      </c>
      <c r="I73" s="12">
        <v>176370</v>
      </c>
      <c r="J73" s="14">
        <f t="shared" si="14"/>
        <v>3.7545766720487574E-2</v>
      </c>
      <c r="K73" s="12">
        <v>8255</v>
      </c>
      <c r="L73" s="14">
        <f t="shared" si="15"/>
        <v>2.0921929365747163E-3</v>
      </c>
      <c r="M73" s="9">
        <v>460</v>
      </c>
      <c r="N73" s="14">
        <f t="shared" si="16"/>
        <v>0.10176699338230277</v>
      </c>
      <c r="O73" s="13">
        <v>22375</v>
      </c>
      <c r="P73" s="14">
        <f t="shared" si="17"/>
        <v>8.4142542014417935E-4</v>
      </c>
      <c r="Q73" s="9">
        <v>185</v>
      </c>
      <c r="R73" s="14">
        <f t="shared" si="18"/>
        <v>5.8649625906806446E-2</v>
      </c>
      <c r="S73" s="3">
        <f t="shared" si="19"/>
        <v>12895</v>
      </c>
      <c r="T73" s="14">
        <f t="shared" si="20"/>
        <v>0.16041661928910922</v>
      </c>
      <c r="U73" s="5">
        <f t="shared" si="21"/>
        <v>35270</v>
      </c>
      <c r="V73" s="14">
        <f t="shared" si="22"/>
        <v>0.9039410547381348</v>
      </c>
      <c r="W73" s="5">
        <f t="shared" si="23"/>
        <v>198745</v>
      </c>
      <c r="X73" s="9">
        <v>690</v>
      </c>
    </row>
    <row r="74" spans="1:24">
      <c r="A74" t="s">
        <v>3</v>
      </c>
      <c r="B74" s="3" t="s">
        <v>24</v>
      </c>
      <c r="C74" s="3" t="s">
        <v>11</v>
      </c>
      <c r="D74" s="10" t="s">
        <v>68</v>
      </c>
      <c r="E74" s="12">
        <v>27345</v>
      </c>
      <c r="F74" s="14">
        <f t="shared" si="12"/>
        <v>5.7963064545620772E-2</v>
      </c>
      <c r="G74" s="12">
        <v>1585</v>
      </c>
      <c r="H74" s="14">
        <f t="shared" si="13"/>
        <v>0.62168586578899254</v>
      </c>
      <c r="I74" s="12">
        <v>17000</v>
      </c>
      <c r="J74" s="14">
        <f t="shared" si="14"/>
        <v>0.18650575973669775</v>
      </c>
      <c r="K74" s="12">
        <v>5100</v>
      </c>
      <c r="L74" s="14">
        <f t="shared" si="15"/>
        <v>1.2068019747668678E-2</v>
      </c>
      <c r="M74" s="9">
        <v>330</v>
      </c>
      <c r="N74" s="14">
        <f t="shared" si="16"/>
        <v>3.2181385993783139E-2</v>
      </c>
      <c r="O74" s="13">
        <v>880</v>
      </c>
      <c r="P74" s="14">
        <f t="shared" si="17"/>
        <v>2.5598829767782046E-3</v>
      </c>
      <c r="Q74" s="9">
        <v>70</v>
      </c>
      <c r="R74" s="14">
        <f t="shared" si="18"/>
        <v>0.25909672700676539</v>
      </c>
      <c r="S74" s="3">
        <f t="shared" si="19"/>
        <v>7085</v>
      </c>
      <c r="T74" s="14">
        <f t="shared" si="20"/>
        <v>0.29127811300054857</v>
      </c>
      <c r="U74" s="5">
        <f t="shared" si="21"/>
        <v>7965</v>
      </c>
      <c r="V74" s="14">
        <f t="shared" si="22"/>
        <v>0.6538672517827756</v>
      </c>
      <c r="W74" s="5">
        <f t="shared" si="23"/>
        <v>17880</v>
      </c>
      <c r="X74" s="9">
        <v>275</v>
      </c>
    </row>
    <row r="75" spans="1:24">
      <c r="A75" t="s">
        <v>3</v>
      </c>
      <c r="B75" s="3" t="s">
        <v>25</v>
      </c>
      <c r="C75" s="3" t="s">
        <v>5</v>
      </c>
      <c r="D75" s="10" t="s">
        <v>68</v>
      </c>
      <c r="E75" s="12">
        <v>405810</v>
      </c>
      <c r="F75" s="14">
        <f t="shared" si="12"/>
        <v>1.5881816613686209E-2</v>
      </c>
      <c r="G75" s="12">
        <v>6445</v>
      </c>
      <c r="H75" s="14">
        <f t="shared" si="13"/>
        <v>0.75807643971316629</v>
      </c>
      <c r="I75" s="12">
        <v>307635</v>
      </c>
      <c r="J75" s="14">
        <f t="shared" si="14"/>
        <v>3.7653088883960475E-2</v>
      </c>
      <c r="K75" s="12">
        <v>15280</v>
      </c>
      <c r="L75" s="14">
        <f t="shared" si="15"/>
        <v>3.0309750868633104E-3</v>
      </c>
      <c r="M75" s="12">
        <v>1230</v>
      </c>
      <c r="N75" s="14">
        <f t="shared" si="16"/>
        <v>0.14140854094280575</v>
      </c>
      <c r="O75" s="13">
        <v>57385</v>
      </c>
      <c r="P75" s="14">
        <f t="shared" si="17"/>
        <v>5.7908873610803082E-4</v>
      </c>
      <c r="Q75" s="9">
        <v>235</v>
      </c>
      <c r="R75" s="14">
        <f t="shared" si="18"/>
        <v>5.7144969320618022E-2</v>
      </c>
      <c r="S75" s="3">
        <f t="shared" si="19"/>
        <v>23190</v>
      </c>
      <c r="T75" s="14">
        <f t="shared" si="20"/>
        <v>0.19855351026342377</v>
      </c>
      <c r="U75" s="5">
        <f t="shared" si="21"/>
        <v>80575</v>
      </c>
      <c r="V75" s="14">
        <f t="shared" si="22"/>
        <v>0.89948498065597204</v>
      </c>
      <c r="W75" s="5">
        <f t="shared" si="23"/>
        <v>365020</v>
      </c>
      <c r="X75" s="9">
        <v>1430</v>
      </c>
    </row>
    <row r="76" spans="1:24">
      <c r="A76" t="s">
        <v>3</v>
      </c>
      <c r="B76" s="3" t="s">
        <v>26</v>
      </c>
      <c r="C76" s="3" t="s">
        <v>27</v>
      </c>
      <c r="D76" s="10" t="s">
        <v>68</v>
      </c>
      <c r="E76" s="12">
        <v>9760</v>
      </c>
      <c r="F76" s="14">
        <f t="shared" si="12"/>
        <v>1.7930327868852458E-2</v>
      </c>
      <c r="G76" s="9">
        <v>175</v>
      </c>
      <c r="H76" s="14">
        <f t="shared" si="13"/>
        <v>0.88268442622950816</v>
      </c>
      <c r="I76" s="12">
        <v>8615</v>
      </c>
      <c r="J76" s="14">
        <f t="shared" si="14"/>
        <v>3.125E-2</v>
      </c>
      <c r="K76" s="9">
        <v>305</v>
      </c>
      <c r="L76" s="14">
        <f t="shared" si="15"/>
        <v>3.0737704918032786E-3</v>
      </c>
      <c r="M76" s="9">
        <v>30</v>
      </c>
      <c r="N76" s="14">
        <f t="shared" si="16"/>
        <v>3.3811475409836068E-2</v>
      </c>
      <c r="O76" s="13">
        <v>330</v>
      </c>
      <c r="P76" s="14">
        <f t="shared" si="17"/>
        <v>0</v>
      </c>
      <c r="Q76" s="9">
        <v>0</v>
      </c>
      <c r="R76" s="14">
        <f t="shared" si="18"/>
        <v>5.225409836065574E-2</v>
      </c>
      <c r="S76" s="3">
        <f t="shared" si="19"/>
        <v>510</v>
      </c>
      <c r="T76" s="14">
        <f t="shared" si="20"/>
        <v>8.6065573770491802E-2</v>
      </c>
      <c r="U76" s="5">
        <f t="shared" si="21"/>
        <v>840</v>
      </c>
      <c r="V76" s="14">
        <f t="shared" si="22"/>
        <v>0.91649590163934425</v>
      </c>
      <c r="W76" s="5">
        <f t="shared" si="23"/>
        <v>8945</v>
      </c>
      <c r="X76" s="9">
        <v>40</v>
      </c>
    </row>
    <row r="77" spans="1:24">
      <c r="A77" t="s">
        <v>3</v>
      </c>
      <c r="B77" s="3" t="s">
        <v>28</v>
      </c>
      <c r="C77" s="3" t="s">
        <v>27</v>
      </c>
      <c r="D77" s="10" t="s">
        <v>68</v>
      </c>
      <c r="E77" s="12">
        <v>5940</v>
      </c>
      <c r="F77" s="14">
        <f t="shared" si="12"/>
        <v>1.0942760942760943E-2</v>
      </c>
      <c r="G77" s="9">
        <v>65</v>
      </c>
      <c r="H77" s="14">
        <f t="shared" si="13"/>
        <v>0.84006734006734007</v>
      </c>
      <c r="I77" s="12">
        <v>4990</v>
      </c>
      <c r="J77" s="14">
        <f t="shared" si="14"/>
        <v>3.5353535353535352E-2</v>
      </c>
      <c r="K77" s="9">
        <v>210</v>
      </c>
      <c r="L77" s="14">
        <f t="shared" si="15"/>
        <v>1.6835016835016834E-3</v>
      </c>
      <c r="M77" s="9">
        <v>10</v>
      </c>
      <c r="N77" s="14">
        <f t="shared" si="16"/>
        <v>4.0404040404040407E-2</v>
      </c>
      <c r="O77" s="13">
        <v>240</v>
      </c>
      <c r="P77" s="14">
        <f t="shared" si="17"/>
        <v>0</v>
      </c>
      <c r="Q77" s="9">
        <v>0</v>
      </c>
      <c r="R77" s="14">
        <f t="shared" si="18"/>
        <v>4.7979797979797977E-2</v>
      </c>
      <c r="S77" s="3">
        <f t="shared" si="19"/>
        <v>285</v>
      </c>
      <c r="T77" s="14">
        <f t="shared" si="20"/>
        <v>8.8383838383838384E-2</v>
      </c>
      <c r="U77" s="5">
        <f t="shared" si="21"/>
        <v>525</v>
      </c>
      <c r="V77" s="14">
        <f t="shared" si="22"/>
        <v>0.88047138047138052</v>
      </c>
      <c r="W77" s="5">
        <f t="shared" si="23"/>
        <v>5230</v>
      </c>
      <c r="X77" s="9">
        <v>60</v>
      </c>
    </row>
    <row r="78" spans="1:24">
      <c r="A78" t="s">
        <v>3</v>
      </c>
      <c r="B78" s="3" t="s">
        <v>29</v>
      </c>
      <c r="C78" s="3" t="s">
        <v>15</v>
      </c>
      <c r="D78" s="10" t="s">
        <v>68</v>
      </c>
      <c r="E78" s="12">
        <v>317900</v>
      </c>
      <c r="F78" s="14">
        <f t="shared" si="12"/>
        <v>3.4083044982698964E-2</v>
      </c>
      <c r="G78" s="12">
        <v>10835</v>
      </c>
      <c r="H78" s="14">
        <f t="shared" si="13"/>
        <v>0.71148159798678834</v>
      </c>
      <c r="I78" s="12">
        <v>226180</v>
      </c>
      <c r="J78" s="14">
        <f t="shared" si="14"/>
        <v>0.10725070776973891</v>
      </c>
      <c r="K78" s="12">
        <v>34095</v>
      </c>
      <c r="L78" s="14">
        <f t="shared" si="15"/>
        <v>4.9701163888015102E-3</v>
      </c>
      <c r="M78" s="12">
        <v>1580</v>
      </c>
      <c r="N78" s="14">
        <f t="shared" si="16"/>
        <v>6.4611513054419631E-2</v>
      </c>
      <c r="O78" s="13">
        <v>20540</v>
      </c>
      <c r="P78" s="14">
        <f t="shared" si="17"/>
        <v>1.9502988361119848E-3</v>
      </c>
      <c r="Q78" s="9">
        <v>620</v>
      </c>
      <c r="R78" s="14">
        <f t="shared" si="18"/>
        <v>0.14825416797735136</v>
      </c>
      <c r="S78" s="3">
        <f t="shared" si="19"/>
        <v>47130</v>
      </c>
      <c r="T78" s="14">
        <f t="shared" si="20"/>
        <v>0.212865681031771</v>
      </c>
      <c r="U78" s="5">
        <f t="shared" si="21"/>
        <v>67670</v>
      </c>
      <c r="V78" s="14">
        <f t="shared" si="22"/>
        <v>0.77609311104120793</v>
      </c>
      <c r="W78" s="5">
        <f t="shared" si="23"/>
        <v>246720</v>
      </c>
      <c r="X78" s="9">
        <v>2685</v>
      </c>
    </row>
    <row r="79" spans="1:24">
      <c r="A79" t="s">
        <v>3</v>
      </c>
      <c r="B79" s="3" t="s">
        <v>30</v>
      </c>
      <c r="C79" s="3" t="s">
        <v>5</v>
      </c>
      <c r="D79" s="10" t="s">
        <v>68</v>
      </c>
      <c r="E79" s="12">
        <v>26585</v>
      </c>
      <c r="F79" s="14">
        <f t="shared" si="12"/>
        <v>1.7679142373518902E-2</v>
      </c>
      <c r="G79" s="9">
        <v>470</v>
      </c>
      <c r="H79" s="14">
        <f t="shared" si="13"/>
        <v>0.80552943389129206</v>
      </c>
      <c r="I79" s="12">
        <v>21415</v>
      </c>
      <c r="J79" s="14">
        <f t="shared" si="14"/>
        <v>4.90878314839195E-2</v>
      </c>
      <c r="K79" s="12">
        <v>1305</v>
      </c>
      <c r="L79" s="14">
        <f t="shared" si="15"/>
        <v>2.8211397404551437E-3</v>
      </c>
      <c r="M79" s="9">
        <v>75</v>
      </c>
      <c r="N79" s="14">
        <f t="shared" si="16"/>
        <v>6.4510062065074286E-2</v>
      </c>
      <c r="O79" s="13">
        <v>1715</v>
      </c>
      <c r="P79" s="14">
        <f t="shared" si="17"/>
        <v>0</v>
      </c>
      <c r="Q79" s="9">
        <v>0</v>
      </c>
      <c r="R79" s="14">
        <f t="shared" si="18"/>
        <v>6.9588113597893547E-2</v>
      </c>
      <c r="S79" s="3">
        <f t="shared" si="19"/>
        <v>1850</v>
      </c>
      <c r="T79" s="14">
        <f t="shared" si="20"/>
        <v>0.13409817566296783</v>
      </c>
      <c r="U79" s="5">
        <f t="shared" si="21"/>
        <v>3565</v>
      </c>
      <c r="V79" s="14">
        <f t="shared" si="22"/>
        <v>0.87003949595636643</v>
      </c>
      <c r="W79" s="5">
        <f t="shared" si="23"/>
        <v>23130</v>
      </c>
      <c r="X79" s="9">
        <v>265</v>
      </c>
    </row>
    <row r="80" spans="1:24">
      <c r="A80" t="s">
        <v>3</v>
      </c>
      <c r="B80" s="3" t="s">
        <v>31</v>
      </c>
      <c r="C80" s="3" t="s">
        <v>15</v>
      </c>
      <c r="D80" s="10" t="s">
        <v>68</v>
      </c>
      <c r="E80" s="12">
        <v>15180</v>
      </c>
      <c r="F80" s="14">
        <f t="shared" si="12"/>
        <v>7.5098814229249009E-2</v>
      </c>
      <c r="G80" s="12">
        <v>1140</v>
      </c>
      <c r="H80" s="14">
        <f t="shared" si="13"/>
        <v>0.57015810276679846</v>
      </c>
      <c r="I80" s="12">
        <v>8655</v>
      </c>
      <c r="J80" s="14">
        <f t="shared" si="14"/>
        <v>0.21113306982872201</v>
      </c>
      <c r="K80" s="12">
        <v>3205</v>
      </c>
      <c r="L80" s="14">
        <f t="shared" si="15"/>
        <v>1.1857707509881422E-2</v>
      </c>
      <c r="M80" s="9">
        <v>180</v>
      </c>
      <c r="N80" s="14">
        <f t="shared" si="16"/>
        <v>3.5243741765480896E-2</v>
      </c>
      <c r="O80" s="13">
        <v>535</v>
      </c>
      <c r="P80" s="14">
        <f t="shared" si="17"/>
        <v>2.9644268774703555E-3</v>
      </c>
      <c r="Q80" s="9">
        <v>45</v>
      </c>
      <c r="R80" s="14">
        <f t="shared" si="18"/>
        <v>0.30105401844532281</v>
      </c>
      <c r="S80" s="3">
        <f t="shared" si="19"/>
        <v>4570</v>
      </c>
      <c r="T80" s="14">
        <f t="shared" si="20"/>
        <v>0.33629776021080371</v>
      </c>
      <c r="U80" s="5">
        <f t="shared" si="21"/>
        <v>5105</v>
      </c>
      <c r="V80" s="14">
        <f t="shared" si="22"/>
        <v>0.6054018445322793</v>
      </c>
      <c r="W80" s="5">
        <f t="shared" si="23"/>
        <v>9190</v>
      </c>
      <c r="X80" s="9">
        <v>65</v>
      </c>
    </row>
    <row r="81" spans="1:24">
      <c r="A81" t="s">
        <v>3</v>
      </c>
      <c r="B81" s="3" t="s">
        <v>32</v>
      </c>
      <c r="C81" s="3" t="s">
        <v>11</v>
      </c>
      <c r="D81" s="10" t="s">
        <v>68</v>
      </c>
      <c r="E81" s="12">
        <v>59685</v>
      </c>
      <c r="F81" s="14">
        <f t="shared" si="12"/>
        <v>1.4241434196196699E-2</v>
      </c>
      <c r="G81" s="9">
        <v>850</v>
      </c>
      <c r="H81" s="14">
        <f t="shared" si="13"/>
        <v>0.87375387450783282</v>
      </c>
      <c r="I81" s="12">
        <v>52150</v>
      </c>
      <c r="J81" s="14">
        <f t="shared" si="14"/>
        <v>4.5907681997151714E-2</v>
      </c>
      <c r="K81" s="12">
        <v>2740</v>
      </c>
      <c r="L81" s="14">
        <f t="shared" si="15"/>
        <v>1.2565971349585323E-3</v>
      </c>
      <c r="M81" s="9">
        <v>75</v>
      </c>
      <c r="N81" s="14">
        <f t="shared" si="16"/>
        <v>2.1445924436625619E-2</v>
      </c>
      <c r="O81" s="13">
        <v>1280</v>
      </c>
      <c r="P81" s="14">
        <f t="shared" si="17"/>
        <v>7.5395828097511936E-4</v>
      </c>
      <c r="Q81" s="9">
        <v>45</v>
      </c>
      <c r="R81" s="14">
        <f t="shared" si="18"/>
        <v>6.2159671609282062E-2</v>
      </c>
      <c r="S81" s="3">
        <f t="shared" si="19"/>
        <v>3710</v>
      </c>
      <c r="T81" s="14">
        <f t="shared" si="20"/>
        <v>8.3605596045907685E-2</v>
      </c>
      <c r="U81" s="5">
        <f t="shared" si="21"/>
        <v>4990</v>
      </c>
      <c r="V81" s="14">
        <f t="shared" si="22"/>
        <v>0.89519979894445845</v>
      </c>
      <c r="W81" s="5">
        <f t="shared" si="23"/>
        <v>53430</v>
      </c>
      <c r="X81" s="9">
        <v>195</v>
      </c>
    </row>
    <row r="82" spans="1:24">
      <c r="A82" t="s">
        <v>3</v>
      </c>
      <c r="B82" s="3" t="s">
        <v>33</v>
      </c>
      <c r="C82" s="3" t="s">
        <v>27</v>
      </c>
      <c r="D82" s="10" t="s">
        <v>68</v>
      </c>
      <c r="E82" s="12">
        <v>231525</v>
      </c>
      <c r="F82" s="14">
        <f t="shared" si="12"/>
        <v>2.4057877119101609E-2</v>
      </c>
      <c r="G82" s="12">
        <v>5570</v>
      </c>
      <c r="H82" s="14">
        <f t="shared" si="13"/>
        <v>0.68176222870100422</v>
      </c>
      <c r="I82" s="12">
        <v>157845</v>
      </c>
      <c r="J82" s="14">
        <f t="shared" si="14"/>
        <v>0.10193283662671418</v>
      </c>
      <c r="K82" s="12">
        <v>23600</v>
      </c>
      <c r="L82" s="14">
        <f t="shared" si="15"/>
        <v>4.4271676924738153E-3</v>
      </c>
      <c r="M82" s="12">
        <v>1025</v>
      </c>
      <c r="N82" s="14">
        <f t="shared" si="16"/>
        <v>0.12776158082280531</v>
      </c>
      <c r="O82" s="13">
        <v>29580</v>
      </c>
      <c r="P82" s="14">
        <f t="shared" si="17"/>
        <v>1.1445848180542059E-3</v>
      </c>
      <c r="Q82" s="9">
        <v>265</v>
      </c>
      <c r="R82" s="14">
        <f t="shared" si="18"/>
        <v>0.1315624662563438</v>
      </c>
      <c r="S82" s="3">
        <f t="shared" si="19"/>
        <v>30460</v>
      </c>
      <c r="T82" s="14">
        <f t="shared" si="20"/>
        <v>0.25932404707914913</v>
      </c>
      <c r="U82" s="5">
        <f t="shared" si="21"/>
        <v>60040</v>
      </c>
      <c r="V82" s="14">
        <f t="shared" si="22"/>
        <v>0.80952380952380953</v>
      </c>
      <c r="W82" s="5">
        <f t="shared" si="23"/>
        <v>187425</v>
      </c>
      <c r="X82" s="9">
        <v>1325</v>
      </c>
    </row>
    <row r="83" spans="1:24">
      <c r="A83" t="s">
        <v>3</v>
      </c>
      <c r="B83" s="3" t="s">
        <v>34</v>
      </c>
      <c r="C83" s="3" t="s">
        <v>15</v>
      </c>
      <c r="D83" s="10" t="s">
        <v>68</v>
      </c>
      <c r="E83" s="12">
        <v>335740</v>
      </c>
      <c r="F83" s="14">
        <f t="shared" si="12"/>
        <v>2.5495919461488055E-2</v>
      </c>
      <c r="G83" s="12">
        <v>8560</v>
      </c>
      <c r="H83" s="14">
        <f t="shared" si="13"/>
        <v>0.80206409721808547</v>
      </c>
      <c r="I83" s="12">
        <v>269285</v>
      </c>
      <c r="J83" s="14">
        <f t="shared" si="14"/>
        <v>8.5631738845535238E-2</v>
      </c>
      <c r="K83" s="12">
        <v>28750</v>
      </c>
      <c r="L83" s="14">
        <f t="shared" si="15"/>
        <v>3.946506225055102E-3</v>
      </c>
      <c r="M83" s="12">
        <v>1325</v>
      </c>
      <c r="N83" s="14">
        <f t="shared" si="16"/>
        <v>2.3068445821171145E-2</v>
      </c>
      <c r="O83" s="13">
        <v>7745</v>
      </c>
      <c r="P83" s="14">
        <f t="shared" si="17"/>
        <v>1.3850002978495265E-3</v>
      </c>
      <c r="Q83" s="9">
        <v>465</v>
      </c>
      <c r="R83" s="14">
        <f t="shared" si="18"/>
        <v>0.11645916482992792</v>
      </c>
      <c r="S83" s="3">
        <f t="shared" si="19"/>
        <v>39100</v>
      </c>
      <c r="T83" s="14">
        <f t="shared" si="20"/>
        <v>0.13952761065109906</v>
      </c>
      <c r="U83" s="5">
        <f t="shared" si="21"/>
        <v>46845</v>
      </c>
      <c r="V83" s="14">
        <f t="shared" si="22"/>
        <v>0.82513254303925654</v>
      </c>
      <c r="W83" s="5">
        <f t="shared" si="23"/>
        <v>277030</v>
      </c>
      <c r="X83" s="9">
        <v>2025</v>
      </c>
    </row>
    <row r="84" spans="1:24">
      <c r="A84" t="s">
        <v>3</v>
      </c>
      <c r="B84" s="3" t="s">
        <v>35</v>
      </c>
      <c r="C84" s="3" t="s">
        <v>11</v>
      </c>
      <c r="D84" s="10" t="s">
        <v>68</v>
      </c>
      <c r="E84" s="12">
        <v>34600</v>
      </c>
      <c r="F84" s="14">
        <f t="shared" si="12"/>
        <v>7.3988439306358386E-2</v>
      </c>
      <c r="G84" s="12">
        <v>2560</v>
      </c>
      <c r="H84" s="14">
        <f t="shared" si="13"/>
        <v>0.4959537572254335</v>
      </c>
      <c r="I84" s="12">
        <v>17160</v>
      </c>
      <c r="J84" s="14">
        <f t="shared" si="14"/>
        <v>0.28829479768786126</v>
      </c>
      <c r="K84" s="12">
        <v>9975</v>
      </c>
      <c r="L84" s="14">
        <f t="shared" si="15"/>
        <v>9.2485549132947983E-3</v>
      </c>
      <c r="M84" s="9">
        <v>320</v>
      </c>
      <c r="N84" s="14">
        <f t="shared" si="16"/>
        <v>4.5231213872832368E-2</v>
      </c>
      <c r="O84" s="13">
        <v>1565</v>
      </c>
      <c r="P84" s="14">
        <f t="shared" si="17"/>
        <v>3.6127167630057803E-3</v>
      </c>
      <c r="Q84" s="9">
        <v>125</v>
      </c>
      <c r="R84" s="14">
        <f t="shared" si="18"/>
        <v>0.37514450867052024</v>
      </c>
      <c r="S84" s="3">
        <f t="shared" si="19"/>
        <v>12980</v>
      </c>
      <c r="T84" s="14">
        <f t="shared" si="20"/>
        <v>0.42037572254335259</v>
      </c>
      <c r="U84" s="5">
        <f t="shared" si="21"/>
        <v>14545</v>
      </c>
      <c r="V84" s="14">
        <f t="shared" si="22"/>
        <v>0.54118497109826591</v>
      </c>
      <c r="W84" s="5">
        <f t="shared" si="23"/>
        <v>18725</v>
      </c>
      <c r="X84" s="9">
        <v>310</v>
      </c>
    </row>
    <row r="85" spans="1:24">
      <c r="A85" t="s">
        <v>3</v>
      </c>
      <c r="B85" s="3" t="s">
        <v>36</v>
      </c>
      <c r="C85" s="3" t="s">
        <v>11</v>
      </c>
      <c r="D85" s="10" t="s">
        <v>68</v>
      </c>
      <c r="E85" s="12">
        <v>159540</v>
      </c>
      <c r="F85" s="14">
        <f t="shared" si="12"/>
        <v>4.8702519744264761E-2</v>
      </c>
      <c r="G85" s="12">
        <v>7770</v>
      </c>
      <c r="H85" s="14">
        <f t="shared" si="13"/>
        <v>0.58775228782750411</v>
      </c>
      <c r="I85" s="12">
        <v>93770</v>
      </c>
      <c r="J85" s="14">
        <f t="shared" si="14"/>
        <v>0.24031590823617902</v>
      </c>
      <c r="K85" s="12">
        <v>38340</v>
      </c>
      <c r="L85" s="14">
        <f t="shared" si="15"/>
        <v>5.2964773724457816E-3</v>
      </c>
      <c r="M85" s="9">
        <v>845</v>
      </c>
      <c r="N85" s="14">
        <f t="shared" si="16"/>
        <v>3.8830387363670553E-2</v>
      </c>
      <c r="O85" s="13">
        <v>6195</v>
      </c>
      <c r="P85" s="14">
        <f t="shared" si="17"/>
        <v>1.5043249341857841E-3</v>
      </c>
      <c r="Q85" s="9">
        <v>240</v>
      </c>
      <c r="R85" s="14">
        <f t="shared" si="18"/>
        <v>0.29581923028707535</v>
      </c>
      <c r="S85" s="3">
        <f t="shared" si="19"/>
        <v>47195</v>
      </c>
      <c r="T85" s="14">
        <f t="shared" si="20"/>
        <v>0.33464961765074591</v>
      </c>
      <c r="U85" s="5">
        <f t="shared" si="21"/>
        <v>53390</v>
      </c>
      <c r="V85" s="14">
        <f t="shared" si="22"/>
        <v>0.62658267519117461</v>
      </c>
      <c r="W85" s="5">
        <f t="shared" si="23"/>
        <v>99965</v>
      </c>
      <c r="X85" s="9">
        <v>1055</v>
      </c>
    </row>
    <row r="86" spans="1:24">
      <c r="A86" t="s">
        <v>3</v>
      </c>
      <c r="B86" s="3" t="s">
        <v>37</v>
      </c>
      <c r="C86" s="3" t="s">
        <v>15</v>
      </c>
      <c r="D86" s="10" t="s">
        <v>68</v>
      </c>
      <c r="E86" s="12">
        <v>32555</v>
      </c>
      <c r="F86" s="14">
        <f t="shared" si="12"/>
        <v>3.5785593610812474E-2</v>
      </c>
      <c r="G86" s="12">
        <v>1165</v>
      </c>
      <c r="H86" s="14">
        <f t="shared" si="13"/>
        <v>0.7356780832437414</v>
      </c>
      <c r="I86" s="12">
        <v>23950</v>
      </c>
      <c r="J86" s="14">
        <f t="shared" si="14"/>
        <v>0.12916602672400554</v>
      </c>
      <c r="K86" s="12">
        <v>4205</v>
      </c>
      <c r="L86" s="14">
        <f t="shared" si="15"/>
        <v>3.9932422054983875E-3</v>
      </c>
      <c r="M86" s="9">
        <v>130</v>
      </c>
      <c r="N86" s="14">
        <f t="shared" si="16"/>
        <v>2.3345108278298266E-2</v>
      </c>
      <c r="O86" s="13">
        <v>760</v>
      </c>
      <c r="P86" s="14">
        <f t="shared" si="17"/>
        <v>1.8430348640761788E-3</v>
      </c>
      <c r="Q86" s="9">
        <v>60</v>
      </c>
      <c r="R86" s="14">
        <f t="shared" si="18"/>
        <v>0.17078789740439257</v>
      </c>
      <c r="S86" s="3">
        <f t="shared" si="19"/>
        <v>5560</v>
      </c>
      <c r="T86" s="14">
        <f t="shared" si="20"/>
        <v>0.19413300568269082</v>
      </c>
      <c r="U86" s="5">
        <f t="shared" si="21"/>
        <v>6320</v>
      </c>
      <c r="V86" s="14">
        <f t="shared" si="22"/>
        <v>0.75902319152203968</v>
      </c>
      <c r="W86" s="5">
        <f t="shared" si="23"/>
        <v>24710</v>
      </c>
      <c r="X86" s="9">
        <v>255</v>
      </c>
    </row>
    <row r="87" spans="1:24">
      <c r="A87" t="s">
        <v>3</v>
      </c>
      <c r="B87" s="3" t="s">
        <v>38</v>
      </c>
      <c r="C87" s="3" t="s">
        <v>5</v>
      </c>
      <c r="D87" s="10" t="s">
        <v>68</v>
      </c>
      <c r="E87" s="12">
        <v>79320</v>
      </c>
      <c r="F87" s="14">
        <f t="shared" si="12"/>
        <v>2.6348966212808876E-2</v>
      </c>
      <c r="G87" s="12">
        <v>2090</v>
      </c>
      <c r="H87" s="14">
        <f t="shared" si="13"/>
        <v>0.85237014624306606</v>
      </c>
      <c r="I87" s="12">
        <v>67610</v>
      </c>
      <c r="J87" s="14">
        <f t="shared" si="14"/>
        <v>3.1959152798789713E-2</v>
      </c>
      <c r="K87" s="12">
        <v>2535</v>
      </c>
      <c r="L87" s="14">
        <f t="shared" si="15"/>
        <v>9.3923348461926372E-3</v>
      </c>
      <c r="M87" s="9">
        <v>745</v>
      </c>
      <c r="N87" s="14">
        <f t="shared" si="16"/>
        <v>1.2228946041351487E-2</v>
      </c>
      <c r="O87" s="13">
        <v>970</v>
      </c>
      <c r="P87" s="14">
        <f t="shared" si="17"/>
        <v>2.4583963691376704E-3</v>
      </c>
      <c r="Q87" s="9">
        <v>195</v>
      </c>
      <c r="R87" s="14">
        <f t="shared" si="18"/>
        <v>7.0158850226928901E-2</v>
      </c>
      <c r="S87" s="3">
        <f t="shared" si="19"/>
        <v>5565</v>
      </c>
      <c r="T87" s="14">
        <f t="shared" si="20"/>
        <v>8.2387796268280383E-2</v>
      </c>
      <c r="U87" s="5">
        <f t="shared" si="21"/>
        <v>6535</v>
      </c>
      <c r="V87" s="14">
        <f t="shared" si="22"/>
        <v>0.86459909228441756</v>
      </c>
      <c r="W87" s="5">
        <f t="shared" si="23"/>
        <v>68580</v>
      </c>
      <c r="X87" s="9">
        <v>550</v>
      </c>
    </row>
    <row r="88" spans="1:24">
      <c r="A88" t="s">
        <v>3</v>
      </c>
      <c r="B88" s="3" t="s">
        <v>39</v>
      </c>
      <c r="C88" s="3" t="s">
        <v>15</v>
      </c>
      <c r="D88" s="10" t="s">
        <v>68</v>
      </c>
      <c r="E88" s="12">
        <v>100025</v>
      </c>
      <c r="F88" s="14">
        <f t="shared" si="12"/>
        <v>8.2029492626843295E-2</v>
      </c>
      <c r="G88" s="12">
        <v>8205</v>
      </c>
      <c r="H88" s="14">
        <f t="shared" si="13"/>
        <v>0.53271682079480132</v>
      </c>
      <c r="I88" s="12">
        <v>53285</v>
      </c>
      <c r="J88" s="14">
        <f t="shared" si="14"/>
        <v>0.20749812546863283</v>
      </c>
      <c r="K88" s="12">
        <v>20755</v>
      </c>
      <c r="L88" s="14">
        <f t="shared" si="15"/>
        <v>1.0197450637340665E-2</v>
      </c>
      <c r="M88" s="12">
        <v>1020</v>
      </c>
      <c r="N88" s="14">
        <f t="shared" si="16"/>
        <v>5.7335666083479127E-2</v>
      </c>
      <c r="O88" s="13">
        <v>5735</v>
      </c>
      <c r="P88" s="14">
        <f t="shared" si="17"/>
        <v>2.1494626343414145E-3</v>
      </c>
      <c r="Q88" s="9">
        <v>215</v>
      </c>
      <c r="R88" s="14">
        <f t="shared" si="18"/>
        <v>0.30187453136715819</v>
      </c>
      <c r="S88" s="3">
        <f t="shared" si="19"/>
        <v>30195</v>
      </c>
      <c r="T88" s="14">
        <f t="shared" si="20"/>
        <v>0.35921019745063731</v>
      </c>
      <c r="U88" s="5">
        <f t="shared" si="21"/>
        <v>35930</v>
      </c>
      <c r="V88" s="14">
        <f t="shared" si="22"/>
        <v>0.59005248687828038</v>
      </c>
      <c r="W88" s="5">
        <f t="shared" si="23"/>
        <v>59020</v>
      </c>
      <c r="X88" s="9">
        <v>925</v>
      </c>
    </row>
    <row r="89" spans="1:24">
      <c r="A89" t="s">
        <v>40</v>
      </c>
      <c r="B89" s="8" t="s">
        <v>41</v>
      </c>
      <c r="C89" s="3" t="s">
        <v>5</v>
      </c>
      <c r="D89" s="10" t="s">
        <v>68</v>
      </c>
      <c r="E89" s="7">
        <v>113685</v>
      </c>
      <c r="F89" s="14">
        <f t="shared" si="12"/>
        <v>8.083740159211858E-2</v>
      </c>
      <c r="G89" s="7">
        <v>9190</v>
      </c>
      <c r="H89" s="14">
        <f t="shared" si="13"/>
        <v>0.73690460482913311</v>
      </c>
      <c r="I89" s="7">
        <v>83775</v>
      </c>
      <c r="J89" s="14">
        <f t="shared" si="14"/>
        <v>3.7208074943924002E-2</v>
      </c>
      <c r="K89" s="7">
        <v>4230</v>
      </c>
      <c r="L89" s="14">
        <f t="shared" si="15"/>
        <v>1.8472093943792058E-3</v>
      </c>
      <c r="M89" s="6">
        <v>210</v>
      </c>
      <c r="N89" s="14">
        <f t="shared" si="16"/>
        <v>0.12090425297972468</v>
      </c>
      <c r="O89" s="7">
        <v>13745</v>
      </c>
      <c r="P89" s="14">
        <f t="shared" si="17"/>
        <v>3.078682323965343E-4</v>
      </c>
      <c r="Q89" s="6">
        <v>35</v>
      </c>
      <c r="R89" s="14">
        <f t="shared" si="18"/>
        <v>0.12020055416281832</v>
      </c>
      <c r="S89" s="3">
        <f t="shared" si="19"/>
        <v>13665</v>
      </c>
      <c r="T89" s="14">
        <f t="shared" si="20"/>
        <v>0.24110480714254298</v>
      </c>
      <c r="U89" s="5">
        <f t="shared" si="21"/>
        <v>27410</v>
      </c>
      <c r="V89" s="14">
        <f t="shared" si="22"/>
        <v>0.85780885780885785</v>
      </c>
      <c r="W89" s="5">
        <f t="shared" si="23"/>
        <v>97520</v>
      </c>
      <c r="X89" s="7">
        <v>2495</v>
      </c>
    </row>
    <row r="90" spans="1:24">
      <c r="A90" t="s">
        <v>40</v>
      </c>
      <c r="B90" s="8" t="s">
        <v>42</v>
      </c>
      <c r="C90" s="3" t="s">
        <v>5</v>
      </c>
      <c r="D90" s="10" t="s">
        <v>68</v>
      </c>
      <c r="E90" s="7">
        <v>13615</v>
      </c>
      <c r="F90" s="14">
        <f t="shared" si="12"/>
        <v>7.5284612559676833E-2</v>
      </c>
      <c r="G90" s="7">
        <v>1025</v>
      </c>
      <c r="H90" s="14">
        <f t="shared" si="13"/>
        <v>0.6970253396988616</v>
      </c>
      <c r="I90" s="7">
        <v>9490</v>
      </c>
      <c r="J90" s="14">
        <f t="shared" si="14"/>
        <v>4.2600073448402498E-2</v>
      </c>
      <c r="K90" s="6">
        <v>580</v>
      </c>
      <c r="L90" s="14">
        <f t="shared" si="15"/>
        <v>1.8362100624311421E-3</v>
      </c>
      <c r="M90" s="6">
        <v>25</v>
      </c>
      <c r="N90" s="14">
        <f t="shared" si="16"/>
        <v>0.15130370914432612</v>
      </c>
      <c r="O90" s="7">
        <v>2060</v>
      </c>
      <c r="P90" s="14">
        <f t="shared" si="17"/>
        <v>6.9775982372383399E-3</v>
      </c>
      <c r="Q90" s="6">
        <v>95</v>
      </c>
      <c r="R90" s="14">
        <f t="shared" si="18"/>
        <v>0.12669849430774879</v>
      </c>
      <c r="S90" s="3">
        <f t="shared" si="19"/>
        <v>1725</v>
      </c>
      <c r="T90" s="14">
        <f t="shared" si="20"/>
        <v>0.27800220345207494</v>
      </c>
      <c r="U90" s="5">
        <f t="shared" si="21"/>
        <v>3785</v>
      </c>
      <c r="V90" s="14">
        <f t="shared" si="22"/>
        <v>0.84832904884318761</v>
      </c>
      <c r="W90" s="5">
        <f t="shared" si="23"/>
        <v>11550</v>
      </c>
      <c r="X90" s="6">
        <v>340</v>
      </c>
    </row>
    <row r="91" spans="1:24">
      <c r="A91" t="s">
        <v>40</v>
      </c>
      <c r="B91" s="8" t="s">
        <v>43</v>
      </c>
      <c r="C91" s="3" t="s">
        <v>5</v>
      </c>
      <c r="D91" s="10" t="s">
        <v>68</v>
      </c>
      <c r="E91" s="7">
        <v>52720</v>
      </c>
      <c r="F91" s="14">
        <f t="shared" si="12"/>
        <v>5.2162367223065248E-2</v>
      </c>
      <c r="G91" s="7">
        <v>2750</v>
      </c>
      <c r="H91" s="14">
        <f t="shared" si="13"/>
        <v>0.75768209408194231</v>
      </c>
      <c r="I91" s="7">
        <v>39945</v>
      </c>
      <c r="J91" s="14">
        <f t="shared" si="14"/>
        <v>4.5238998482549315E-2</v>
      </c>
      <c r="K91" s="7">
        <v>2385</v>
      </c>
      <c r="L91" s="14">
        <f t="shared" si="15"/>
        <v>2.4658573596358117E-3</v>
      </c>
      <c r="M91" s="6">
        <v>130</v>
      </c>
      <c r="N91" s="14">
        <f t="shared" si="16"/>
        <v>0.13021623672230653</v>
      </c>
      <c r="O91" s="7">
        <v>6865</v>
      </c>
      <c r="P91" s="14">
        <f t="shared" si="17"/>
        <v>5.6904400606980275E-4</v>
      </c>
      <c r="Q91" s="6">
        <v>30</v>
      </c>
      <c r="R91" s="14">
        <f t="shared" si="18"/>
        <v>0.10043626707132018</v>
      </c>
      <c r="S91" s="3">
        <f t="shared" si="19"/>
        <v>5295</v>
      </c>
      <c r="T91" s="14">
        <f t="shared" si="20"/>
        <v>0.2306525037936267</v>
      </c>
      <c r="U91" s="5">
        <f t="shared" si="21"/>
        <v>12160</v>
      </c>
      <c r="V91" s="14">
        <f t="shared" si="22"/>
        <v>0.88789833080424885</v>
      </c>
      <c r="W91" s="5">
        <f t="shared" si="23"/>
        <v>46810</v>
      </c>
      <c r="X91" s="6">
        <v>620</v>
      </c>
    </row>
    <row r="92" spans="1:24">
      <c r="A92" t="s">
        <v>40</v>
      </c>
      <c r="B92" s="8" t="s">
        <v>44</v>
      </c>
      <c r="C92" s="3" t="s">
        <v>5</v>
      </c>
      <c r="D92" s="10" t="s">
        <v>68</v>
      </c>
      <c r="E92" s="7">
        <v>303695</v>
      </c>
      <c r="F92" s="14">
        <f t="shared" si="12"/>
        <v>7.7577833023263473E-2</v>
      </c>
      <c r="G92" s="7">
        <v>23560</v>
      </c>
      <c r="H92" s="14">
        <f t="shared" si="13"/>
        <v>0.75816197171504307</v>
      </c>
      <c r="I92" s="7">
        <v>230250</v>
      </c>
      <c r="J92" s="14">
        <f t="shared" si="14"/>
        <v>4.1456066118968043E-2</v>
      </c>
      <c r="K92" s="7">
        <v>12590</v>
      </c>
      <c r="L92" s="14">
        <f t="shared" si="15"/>
        <v>2.4037274238956846E-3</v>
      </c>
      <c r="M92" s="6">
        <v>730</v>
      </c>
      <c r="N92" s="14">
        <f t="shared" si="16"/>
        <v>0.10095655180361876</v>
      </c>
      <c r="O92" s="7">
        <v>30660</v>
      </c>
      <c r="P92" s="14">
        <f t="shared" si="17"/>
        <v>7.9026655032186899E-4</v>
      </c>
      <c r="Q92" s="6">
        <v>240</v>
      </c>
      <c r="R92" s="14">
        <f t="shared" si="18"/>
        <v>0.12222789311644906</v>
      </c>
      <c r="S92" s="3">
        <f t="shared" si="19"/>
        <v>37120</v>
      </c>
      <c r="T92" s="14">
        <f t="shared" si="20"/>
        <v>0.22318444492006784</v>
      </c>
      <c r="U92" s="5">
        <f t="shared" si="21"/>
        <v>67780</v>
      </c>
      <c r="V92" s="14">
        <f t="shared" si="22"/>
        <v>0.8591185235186618</v>
      </c>
      <c r="W92" s="5">
        <f t="shared" si="23"/>
        <v>260910</v>
      </c>
      <c r="X92" s="7">
        <v>5660</v>
      </c>
    </row>
    <row r="93" spans="1:24">
      <c r="A93" t="s">
        <v>40</v>
      </c>
      <c r="B93" s="8" t="s">
        <v>45</v>
      </c>
      <c r="C93" s="3" t="s">
        <v>5</v>
      </c>
      <c r="D93" s="10" t="s">
        <v>68</v>
      </c>
      <c r="E93" s="7">
        <v>46260</v>
      </c>
      <c r="F93" s="14">
        <f t="shared" si="12"/>
        <v>6.3878080415045391E-2</v>
      </c>
      <c r="G93" s="7">
        <v>2955</v>
      </c>
      <c r="H93" s="14">
        <f t="shared" si="13"/>
        <v>0.57360570687418933</v>
      </c>
      <c r="I93" s="7">
        <v>26535</v>
      </c>
      <c r="J93" s="14">
        <f t="shared" si="14"/>
        <v>7.7712926934716819E-2</v>
      </c>
      <c r="K93" s="7">
        <v>3595</v>
      </c>
      <c r="L93" s="14">
        <f t="shared" si="15"/>
        <v>1.7293558149589277E-3</v>
      </c>
      <c r="M93" s="6">
        <v>80</v>
      </c>
      <c r="N93" s="14">
        <f t="shared" si="16"/>
        <v>0.25972762645914399</v>
      </c>
      <c r="O93" s="7">
        <v>12015</v>
      </c>
      <c r="P93" s="14">
        <f t="shared" si="17"/>
        <v>8.6467790747946386E-4</v>
      </c>
      <c r="Q93" s="6">
        <v>40</v>
      </c>
      <c r="R93" s="14">
        <f t="shared" si="18"/>
        <v>0.14418504107220059</v>
      </c>
      <c r="S93" s="3">
        <f t="shared" si="19"/>
        <v>6670</v>
      </c>
      <c r="T93" s="14">
        <f t="shared" si="20"/>
        <v>0.40391266753134458</v>
      </c>
      <c r="U93" s="5">
        <f t="shared" si="21"/>
        <v>18685</v>
      </c>
      <c r="V93" s="14">
        <f t="shared" si="22"/>
        <v>0.83333333333333337</v>
      </c>
      <c r="W93" s="5">
        <f t="shared" si="23"/>
        <v>38550</v>
      </c>
      <c r="X93" s="7">
        <v>1040</v>
      </c>
    </row>
    <row r="94" spans="1:24">
      <c r="A94" t="s">
        <v>40</v>
      </c>
      <c r="B94" s="6" t="s">
        <v>46</v>
      </c>
      <c r="C94" s="9" t="s">
        <v>5</v>
      </c>
      <c r="D94" s="10" t="s">
        <v>68</v>
      </c>
      <c r="E94" s="7">
        <v>196570</v>
      </c>
      <c r="F94" s="14">
        <f t="shared" si="12"/>
        <v>7.417205066897288E-2</v>
      </c>
      <c r="G94" s="7">
        <v>14580</v>
      </c>
      <c r="H94" s="14">
        <f t="shared" si="13"/>
        <v>0.68108053110851097</v>
      </c>
      <c r="I94" s="7">
        <v>133880</v>
      </c>
      <c r="J94" s="14">
        <f t="shared" si="14"/>
        <v>5.1432059826016174E-2</v>
      </c>
      <c r="K94" s="7">
        <v>10110</v>
      </c>
      <c r="L94" s="14">
        <f t="shared" si="15"/>
        <v>1.4498651879737499E-3</v>
      </c>
      <c r="M94" s="6">
        <v>285</v>
      </c>
      <c r="N94" s="14">
        <f t="shared" si="16"/>
        <v>0.1705499313221753</v>
      </c>
      <c r="O94" s="7">
        <v>33525</v>
      </c>
      <c r="P94" s="14">
        <f t="shared" si="17"/>
        <v>7.6308694103881572E-4</v>
      </c>
      <c r="Q94" s="6">
        <v>150</v>
      </c>
      <c r="R94" s="14">
        <f t="shared" si="18"/>
        <v>0.12781706262400164</v>
      </c>
      <c r="S94" s="3">
        <f t="shared" si="19"/>
        <v>25125</v>
      </c>
      <c r="T94" s="14">
        <f t="shared" si="20"/>
        <v>0.29836699394617694</v>
      </c>
      <c r="U94" s="5">
        <f t="shared" si="21"/>
        <v>58650</v>
      </c>
      <c r="V94" s="14">
        <f t="shared" si="22"/>
        <v>0.8516304624306863</v>
      </c>
      <c r="W94" s="5">
        <f t="shared" si="23"/>
        <v>167405</v>
      </c>
      <c r="X94" s="7">
        <v>4035</v>
      </c>
    </row>
    <row r="95" spans="1:24">
      <c r="A95" t="s">
        <v>40</v>
      </c>
      <c r="B95" s="6" t="s">
        <v>47</v>
      </c>
      <c r="C95" s="3" t="s">
        <v>5</v>
      </c>
      <c r="D95" s="10" t="s">
        <v>68</v>
      </c>
      <c r="E95" s="7">
        <v>21445</v>
      </c>
      <c r="F95" s="14">
        <f t="shared" si="12"/>
        <v>6.2718582420144553E-2</v>
      </c>
      <c r="G95" s="7">
        <v>1345</v>
      </c>
      <c r="H95" s="14">
        <f t="shared" si="13"/>
        <v>0.74749358824900913</v>
      </c>
      <c r="I95" s="7">
        <v>16030</v>
      </c>
      <c r="J95" s="14">
        <f t="shared" si="14"/>
        <v>6.108650034973187E-2</v>
      </c>
      <c r="K95" s="7">
        <v>1310</v>
      </c>
      <c r="L95" s="14">
        <f t="shared" si="15"/>
        <v>6.0620191186756822E-3</v>
      </c>
      <c r="M95" s="6">
        <v>130</v>
      </c>
      <c r="N95" s="14">
        <f t="shared" si="16"/>
        <v>9.7924924224761012E-2</v>
      </c>
      <c r="O95" s="7">
        <v>2100</v>
      </c>
      <c r="P95" s="14">
        <f t="shared" si="17"/>
        <v>1.1657729074376311E-3</v>
      </c>
      <c r="Q95" s="6">
        <v>25</v>
      </c>
      <c r="R95" s="14">
        <f t="shared" si="18"/>
        <v>0.13103287479598974</v>
      </c>
      <c r="S95" s="3">
        <f t="shared" si="19"/>
        <v>2810</v>
      </c>
      <c r="T95" s="14">
        <f t="shared" si="20"/>
        <v>0.22895779902075075</v>
      </c>
      <c r="U95" s="5">
        <f t="shared" si="21"/>
        <v>4910</v>
      </c>
      <c r="V95" s="14">
        <f t="shared" si="22"/>
        <v>0.84541851247377009</v>
      </c>
      <c r="W95" s="5">
        <f t="shared" si="23"/>
        <v>18130</v>
      </c>
      <c r="X95" s="6">
        <v>505</v>
      </c>
    </row>
    <row r="96" spans="1:24">
      <c r="A96" t="s">
        <v>40</v>
      </c>
      <c r="B96" s="6" t="s">
        <v>48</v>
      </c>
      <c r="C96" s="3" t="s">
        <v>5</v>
      </c>
      <c r="D96" s="10" t="s">
        <v>68</v>
      </c>
      <c r="E96" s="7">
        <v>168810</v>
      </c>
      <c r="F96" s="14">
        <f t="shared" si="12"/>
        <v>7.443279426574255E-2</v>
      </c>
      <c r="G96" s="7">
        <v>12565</v>
      </c>
      <c r="H96" s="14">
        <f t="shared" si="13"/>
        <v>0.76301759374444644</v>
      </c>
      <c r="I96" s="7">
        <v>128805</v>
      </c>
      <c r="J96" s="14">
        <f t="shared" si="14"/>
        <v>4.0667022095847404E-2</v>
      </c>
      <c r="K96" s="7">
        <v>6865</v>
      </c>
      <c r="L96" s="14">
        <f t="shared" si="15"/>
        <v>3.1396244298323561E-3</v>
      </c>
      <c r="M96" s="6">
        <v>530</v>
      </c>
      <c r="N96" s="14">
        <f t="shared" si="16"/>
        <v>0.10156388839523725</v>
      </c>
      <c r="O96" s="7">
        <v>17145</v>
      </c>
      <c r="P96" s="14">
        <f t="shared" si="17"/>
        <v>8.2933475505005626E-4</v>
      </c>
      <c r="Q96" s="6">
        <v>140</v>
      </c>
      <c r="R96" s="14">
        <f t="shared" si="18"/>
        <v>0.11906877554647237</v>
      </c>
      <c r="S96" s="3">
        <f t="shared" si="19"/>
        <v>20100</v>
      </c>
      <c r="T96" s="14">
        <f t="shared" si="20"/>
        <v>0.22063266394170961</v>
      </c>
      <c r="U96" s="5">
        <f t="shared" si="21"/>
        <v>37245</v>
      </c>
      <c r="V96" s="14">
        <f t="shared" si="22"/>
        <v>0.86458148213968367</v>
      </c>
      <c r="W96" s="5">
        <f t="shared" si="23"/>
        <v>145950</v>
      </c>
      <c r="X96" s="7">
        <v>2760</v>
      </c>
    </row>
    <row r="97" spans="1:24">
      <c r="A97" t="s">
        <v>40</v>
      </c>
      <c r="B97" s="6" t="s">
        <v>49</v>
      </c>
      <c r="C97" s="3" t="s">
        <v>5</v>
      </c>
      <c r="D97" s="10" t="s">
        <v>68</v>
      </c>
      <c r="E97" s="7">
        <v>12280</v>
      </c>
      <c r="F97" s="14">
        <f t="shared" si="12"/>
        <v>5.5374592833876218E-2</v>
      </c>
      <c r="G97" s="6">
        <v>680</v>
      </c>
      <c r="H97" s="14">
        <f t="shared" si="13"/>
        <v>0.79356677524429964</v>
      </c>
      <c r="I97" s="7">
        <v>9745</v>
      </c>
      <c r="J97" s="14">
        <f t="shared" si="14"/>
        <v>5.1710097719869709E-2</v>
      </c>
      <c r="K97" s="6">
        <v>635</v>
      </c>
      <c r="L97" s="14">
        <f t="shared" si="15"/>
        <v>4.0716612377850164E-3</v>
      </c>
      <c r="M97" s="6">
        <v>50</v>
      </c>
      <c r="N97" s="14">
        <f t="shared" si="16"/>
        <v>7.3289902280130298E-2</v>
      </c>
      <c r="O97" s="6">
        <v>900</v>
      </c>
      <c r="P97" s="14">
        <f t="shared" si="17"/>
        <v>4.4788273615635182E-3</v>
      </c>
      <c r="Q97" s="6">
        <v>55</v>
      </c>
      <c r="R97" s="14">
        <f t="shared" si="18"/>
        <v>0.11563517915309446</v>
      </c>
      <c r="S97" s="3">
        <f t="shared" si="19"/>
        <v>1420</v>
      </c>
      <c r="T97" s="14">
        <f t="shared" si="20"/>
        <v>0.18892508143322476</v>
      </c>
      <c r="U97" s="5">
        <f t="shared" si="21"/>
        <v>2320</v>
      </c>
      <c r="V97" s="14">
        <f t="shared" si="22"/>
        <v>0.86685667752442996</v>
      </c>
      <c r="W97" s="5">
        <f t="shared" si="23"/>
        <v>10645</v>
      </c>
      <c r="X97" s="6">
        <v>210</v>
      </c>
    </row>
    <row r="98" spans="1:24">
      <c r="A98" t="s">
        <v>40</v>
      </c>
      <c r="B98" s="6" t="s">
        <v>50</v>
      </c>
      <c r="C98" s="3" t="s">
        <v>5</v>
      </c>
      <c r="D98" s="10" t="s">
        <v>68</v>
      </c>
      <c r="E98" s="7">
        <v>35495</v>
      </c>
      <c r="F98" s="14">
        <f t="shared" si="12"/>
        <v>6.4656993942808841E-2</v>
      </c>
      <c r="G98" s="7">
        <v>2295</v>
      </c>
      <c r="H98" s="14">
        <f t="shared" si="13"/>
        <v>0.73672348218058881</v>
      </c>
      <c r="I98" s="7">
        <v>26150</v>
      </c>
      <c r="J98" s="14">
        <f t="shared" si="14"/>
        <v>3.6202282011550922E-2</v>
      </c>
      <c r="K98" s="7">
        <v>1285</v>
      </c>
      <c r="L98" s="14">
        <f t="shared" si="15"/>
        <v>3.6624876743203269E-3</v>
      </c>
      <c r="M98" s="6">
        <v>130</v>
      </c>
      <c r="N98" s="14">
        <f t="shared" si="16"/>
        <v>0.13621636850260599</v>
      </c>
      <c r="O98" s="7">
        <v>4835</v>
      </c>
      <c r="P98" s="14">
        <f t="shared" si="17"/>
        <v>0</v>
      </c>
      <c r="Q98" s="6">
        <v>0</v>
      </c>
      <c r="R98" s="14">
        <f t="shared" si="18"/>
        <v>0.1045217636286801</v>
      </c>
      <c r="S98" s="3">
        <f t="shared" si="19"/>
        <v>3710</v>
      </c>
      <c r="T98" s="14">
        <f t="shared" si="20"/>
        <v>0.24073813213128609</v>
      </c>
      <c r="U98" s="5">
        <f t="shared" si="21"/>
        <v>8545</v>
      </c>
      <c r="V98" s="14">
        <f t="shared" si="22"/>
        <v>0.8729398506831948</v>
      </c>
      <c r="W98" s="5">
        <f t="shared" si="23"/>
        <v>30985</v>
      </c>
      <c r="X98" s="6">
        <v>800</v>
      </c>
    </row>
    <row r="99" spans="1:24">
      <c r="A99" t="s">
        <v>40</v>
      </c>
      <c r="B99" s="6" t="s">
        <v>51</v>
      </c>
      <c r="C99" s="3" t="s">
        <v>5</v>
      </c>
      <c r="D99" s="10" t="s">
        <v>68</v>
      </c>
      <c r="E99" s="7">
        <v>248470</v>
      </c>
      <c r="F99" s="14">
        <f t="shared" si="12"/>
        <v>6.7231456513864848E-2</v>
      </c>
      <c r="G99" s="7">
        <v>16705</v>
      </c>
      <c r="H99" s="14">
        <f t="shared" si="13"/>
        <v>0.76242604741015008</v>
      </c>
      <c r="I99" s="7">
        <v>189440</v>
      </c>
      <c r="J99" s="14">
        <f t="shared" si="14"/>
        <v>3.6040568277860507E-2</v>
      </c>
      <c r="K99" s="7">
        <v>8955</v>
      </c>
      <c r="L99" s="14">
        <f t="shared" si="15"/>
        <v>2.3342858292751639E-3</v>
      </c>
      <c r="M99" s="6">
        <v>580</v>
      </c>
      <c r="N99" s="14">
        <f t="shared" si="16"/>
        <v>0.1157483800861271</v>
      </c>
      <c r="O99" s="7">
        <v>28760</v>
      </c>
      <c r="P99" s="14">
        <f t="shared" si="17"/>
        <v>7.2443353322332673E-4</v>
      </c>
      <c r="Q99" s="6">
        <v>180</v>
      </c>
      <c r="R99" s="14">
        <f t="shared" si="18"/>
        <v>0.10633074415422385</v>
      </c>
      <c r="S99" s="3">
        <f t="shared" si="19"/>
        <v>26420</v>
      </c>
      <c r="T99" s="14">
        <f t="shared" si="20"/>
        <v>0.22207912424035095</v>
      </c>
      <c r="U99" s="5">
        <f t="shared" si="21"/>
        <v>55180</v>
      </c>
      <c r="V99" s="14">
        <f t="shared" si="22"/>
        <v>0.87817442749627717</v>
      </c>
      <c r="W99" s="5">
        <f t="shared" si="23"/>
        <v>218200</v>
      </c>
      <c r="X99" s="7">
        <v>3855</v>
      </c>
    </row>
    <row r="100" spans="1:24">
      <c r="A100" t="s">
        <v>40</v>
      </c>
      <c r="B100" s="6" t="s">
        <v>52</v>
      </c>
      <c r="C100" s="3" t="s">
        <v>5</v>
      </c>
      <c r="D100" s="10" t="s">
        <v>68</v>
      </c>
      <c r="E100" s="7">
        <v>35425</v>
      </c>
      <c r="F100" s="14">
        <f t="shared" si="12"/>
        <v>9.9929428369795348E-2</v>
      </c>
      <c r="G100" s="7">
        <v>3540</v>
      </c>
      <c r="H100" s="14">
        <f t="shared" si="13"/>
        <v>0.7417078334509527</v>
      </c>
      <c r="I100" s="7">
        <v>26275</v>
      </c>
      <c r="J100" s="14">
        <f t="shared" si="14"/>
        <v>4.3895553987297109E-2</v>
      </c>
      <c r="K100" s="7">
        <v>1555</v>
      </c>
      <c r="L100" s="14">
        <f t="shared" si="15"/>
        <v>7.1983062808750886E-3</v>
      </c>
      <c r="M100" s="6">
        <v>255</v>
      </c>
      <c r="N100" s="14">
        <f t="shared" si="16"/>
        <v>8.835568101623148E-2</v>
      </c>
      <c r="O100" s="7">
        <v>3130</v>
      </c>
      <c r="P100" s="14">
        <f t="shared" si="17"/>
        <v>1.1291460832745236E-4</v>
      </c>
      <c r="Q100" s="6">
        <v>4</v>
      </c>
      <c r="R100" s="14">
        <f t="shared" si="18"/>
        <v>0.15113620324629498</v>
      </c>
      <c r="S100" s="3">
        <f t="shared" si="19"/>
        <v>5354</v>
      </c>
      <c r="T100" s="14">
        <f t="shared" si="20"/>
        <v>0.23949188426252646</v>
      </c>
      <c r="U100" s="5">
        <f t="shared" si="21"/>
        <v>8484</v>
      </c>
      <c r="V100" s="14">
        <f t="shared" si="22"/>
        <v>0.83006351446718418</v>
      </c>
      <c r="W100" s="5">
        <f t="shared" si="23"/>
        <v>29405</v>
      </c>
      <c r="X100" s="6">
        <v>660</v>
      </c>
    </row>
    <row r="101" spans="1:24">
      <c r="A101" t="s">
        <v>40</v>
      </c>
      <c r="B101" s="6" t="s">
        <v>53</v>
      </c>
      <c r="C101" s="3" t="s">
        <v>5</v>
      </c>
      <c r="D101" s="10" t="s">
        <v>68</v>
      </c>
      <c r="E101" s="7">
        <v>484005</v>
      </c>
      <c r="F101" s="14">
        <f t="shared" si="12"/>
        <v>7.1538517164078885E-2</v>
      </c>
      <c r="G101" s="7">
        <v>34625</v>
      </c>
      <c r="H101" s="14">
        <f t="shared" si="13"/>
        <v>0.70177994028987301</v>
      </c>
      <c r="I101" s="7">
        <v>339665</v>
      </c>
      <c r="J101" s="14">
        <f t="shared" si="14"/>
        <v>4.3522277662420845E-2</v>
      </c>
      <c r="K101" s="7">
        <v>21065</v>
      </c>
      <c r="L101" s="14">
        <f t="shared" si="15"/>
        <v>2.0557638867367074E-3</v>
      </c>
      <c r="M101" s="6">
        <v>995</v>
      </c>
      <c r="N101" s="14">
        <f t="shared" si="16"/>
        <v>0.16081445439613226</v>
      </c>
      <c r="O101" s="7">
        <v>77835</v>
      </c>
      <c r="P101" s="14">
        <f t="shared" si="17"/>
        <v>7.7478538444850781E-4</v>
      </c>
      <c r="Q101" s="6">
        <v>375</v>
      </c>
      <c r="R101" s="14">
        <f t="shared" si="18"/>
        <v>0.11789134409768494</v>
      </c>
      <c r="S101" s="3">
        <f t="shared" si="19"/>
        <v>57060</v>
      </c>
      <c r="T101" s="14">
        <f t="shared" si="20"/>
        <v>0.27870579849381721</v>
      </c>
      <c r="U101" s="5">
        <f t="shared" si="21"/>
        <v>134895</v>
      </c>
      <c r="V101" s="14">
        <f t="shared" si="22"/>
        <v>0.86259439468600529</v>
      </c>
      <c r="W101" s="5">
        <f t="shared" si="23"/>
        <v>417500</v>
      </c>
      <c r="X101" s="7">
        <v>9450</v>
      </c>
    </row>
    <row r="102" spans="1:24">
      <c r="A102" t="s">
        <v>40</v>
      </c>
      <c r="B102" s="6" t="s">
        <v>54</v>
      </c>
      <c r="C102" s="3" t="s">
        <v>5</v>
      </c>
      <c r="D102" s="10" t="s">
        <v>68</v>
      </c>
      <c r="E102" s="7">
        <v>535950</v>
      </c>
      <c r="F102" s="14">
        <f t="shared" si="12"/>
        <v>0.12037503498460678</v>
      </c>
      <c r="G102" s="7">
        <v>64515</v>
      </c>
      <c r="H102" s="14">
        <f t="shared" si="13"/>
        <v>0.72525422147588392</v>
      </c>
      <c r="I102" s="7">
        <v>388700</v>
      </c>
      <c r="J102" s="14">
        <f t="shared" si="14"/>
        <v>6.8028734023696247E-2</v>
      </c>
      <c r="K102" s="7">
        <v>36460</v>
      </c>
      <c r="L102" s="14">
        <f t="shared" si="15"/>
        <v>5.5322324843735419E-3</v>
      </c>
      <c r="M102" s="7">
        <v>2965</v>
      </c>
      <c r="N102" s="14">
        <f t="shared" si="16"/>
        <v>5.8764810150200582E-2</v>
      </c>
      <c r="O102" s="7">
        <v>31495</v>
      </c>
      <c r="P102" s="14">
        <f t="shared" si="17"/>
        <v>1.2221289299374943E-3</v>
      </c>
      <c r="Q102" s="6">
        <v>655</v>
      </c>
      <c r="R102" s="14">
        <f t="shared" si="18"/>
        <v>0.19515813042261404</v>
      </c>
      <c r="S102" s="3">
        <f t="shared" si="19"/>
        <v>104595</v>
      </c>
      <c r="T102" s="14">
        <f t="shared" si="20"/>
        <v>0.25392294057281461</v>
      </c>
      <c r="U102" s="5">
        <f t="shared" si="21"/>
        <v>136090</v>
      </c>
      <c r="V102" s="14">
        <f t="shared" si="22"/>
        <v>0.78401903162608455</v>
      </c>
      <c r="W102" s="5">
        <f t="shared" si="23"/>
        <v>420195</v>
      </c>
      <c r="X102" s="7">
        <v>11160</v>
      </c>
    </row>
    <row r="103" spans="1:24">
      <c r="A103" t="s">
        <v>40</v>
      </c>
      <c r="B103" s="6" t="s">
        <v>55</v>
      </c>
      <c r="C103" s="8" t="s">
        <v>11</v>
      </c>
      <c r="D103" s="10" t="s">
        <v>68</v>
      </c>
      <c r="E103" s="7">
        <v>58290</v>
      </c>
      <c r="F103" s="14">
        <f t="shared" si="12"/>
        <v>5.9701492537313432E-2</v>
      </c>
      <c r="G103" s="7">
        <v>3480</v>
      </c>
      <c r="H103" s="14">
        <f t="shared" si="13"/>
        <v>0.85512094698919194</v>
      </c>
      <c r="I103" s="7">
        <v>49845</v>
      </c>
      <c r="J103" s="14">
        <f t="shared" si="14"/>
        <v>3.6284096757591353E-2</v>
      </c>
      <c r="K103" s="7">
        <v>2115</v>
      </c>
      <c r="L103" s="14">
        <f t="shared" si="15"/>
        <v>1.5440041173443129E-3</v>
      </c>
      <c r="M103" s="6">
        <v>90</v>
      </c>
      <c r="N103" s="14">
        <f t="shared" si="16"/>
        <v>3.1823640418596671E-2</v>
      </c>
      <c r="O103" s="7">
        <v>1855</v>
      </c>
      <c r="P103" s="14">
        <f t="shared" si="17"/>
        <v>2.5733401955738551E-4</v>
      </c>
      <c r="Q103" s="6">
        <v>15</v>
      </c>
      <c r="R103" s="14">
        <f t="shared" si="18"/>
        <v>9.7786927431806489E-2</v>
      </c>
      <c r="S103" s="3">
        <f t="shared" si="19"/>
        <v>5700</v>
      </c>
      <c r="T103" s="14">
        <f t="shared" si="20"/>
        <v>0.12961056785040315</v>
      </c>
      <c r="U103" s="5">
        <f t="shared" si="21"/>
        <v>7555</v>
      </c>
      <c r="V103" s="14">
        <f t="shared" si="22"/>
        <v>0.8869445874077887</v>
      </c>
      <c r="W103" s="5">
        <f t="shared" si="23"/>
        <v>51700</v>
      </c>
      <c r="X103" s="6">
        <v>895</v>
      </c>
    </row>
    <row r="104" spans="1:24">
      <c r="A104" t="s">
        <v>40</v>
      </c>
      <c r="B104" s="6" t="s">
        <v>56</v>
      </c>
      <c r="C104" s="8" t="s">
        <v>11</v>
      </c>
      <c r="D104" s="10" t="s">
        <v>68</v>
      </c>
      <c r="E104" s="7">
        <v>473550</v>
      </c>
      <c r="F104" s="14">
        <f t="shared" si="12"/>
        <v>0.14072431633407242</v>
      </c>
      <c r="G104" s="7">
        <v>66640</v>
      </c>
      <c r="H104" s="14">
        <f t="shared" si="13"/>
        <v>0.56941188892408401</v>
      </c>
      <c r="I104" s="7">
        <v>269645</v>
      </c>
      <c r="J104" s="14">
        <f t="shared" si="14"/>
        <v>0.21870974553901384</v>
      </c>
      <c r="K104" s="7">
        <v>103570</v>
      </c>
      <c r="L104" s="14">
        <f t="shared" si="15"/>
        <v>8.6263330165769186E-3</v>
      </c>
      <c r="M104" s="7">
        <v>4085</v>
      </c>
      <c r="N104" s="14">
        <f t="shared" si="16"/>
        <v>3.5751240629289409E-2</v>
      </c>
      <c r="O104" s="7">
        <v>16930</v>
      </c>
      <c r="P104" s="14">
        <f t="shared" si="17"/>
        <v>1.8794213916165136E-3</v>
      </c>
      <c r="Q104" s="6">
        <v>890</v>
      </c>
      <c r="R104" s="14">
        <f t="shared" si="18"/>
        <v>0.3699398162812797</v>
      </c>
      <c r="S104" s="3">
        <f t="shared" si="19"/>
        <v>175185</v>
      </c>
      <c r="T104" s="14">
        <f t="shared" si="20"/>
        <v>0.40569105691056911</v>
      </c>
      <c r="U104" s="5">
        <f t="shared" si="21"/>
        <v>192115</v>
      </c>
      <c r="V104" s="14">
        <f t="shared" si="22"/>
        <v>0.60516312955337348</v>
      </c>
      <c r="W104" s="5">
        <f t="shared" si="23"/>
        <v>286575</v>
      </c>
      <c r="X104" s="7">
        <v>11795</v>
      </c>
    </row>
    <row r="105" spans="1:24">
      <c r="A105" t="s">
        <v>40</v>
      </c>
      <c r="B105" s="6" t="s">
        <v>57</v>
      </c>
      <c r="C105" s="8" t="s">
        <v>15</v>
      </c>
      <c r="D105" s="10" t="s">
        <v>68</v>
      </c>
      <c r="E105" s="7">
        <v>15085</v>
      </c>
      <c r="F105" s="14">
        <f t="shared" si="12"/>
        <v>0.14617169373549885</v>
      </c>
      <c r="G105" s="7">
        <v>2205</v>
      </c>
      <c r="H105" s="14">
        <f t="shared" si="13"/>
        <v>0.58170367915147503</v>
      </c>
      <c r="I105" s="7">
        <v>8775</v>
      </c>
      <c r="J105" s="14">
        <f t="shared" si="14"/>
        <v>0.1925754060324826</v>
      </c>
      <c r="K105" s="7">
        <v>2905</v>
      </c>
      <c r="L105" s="14">
        <f t="shared" si="15"/>
        <v>5.3032814053695721E-3</v>
      </c>
      <c r="M105" s="6">
        <v>80</v>
      </c>
      <c r="N105" s="14">
        <f t="shared" si="16"/>
        <v>4.5077891945641366E-2</v>
      </c>
      <c r="O105" s="6">
        <v>680</v>
      </c>
      <c r="P105" s="14">
        <f t="shared" si="17"/>
        <v>2.651640702684786E-3</v>
      </c>
      <c r="Q105" s="6">
        <v>40</v>
      </c>
      <c r="R105" s="14">
        <f t="shared" si="18"/>
        <v>0.34670202187603577</v>
      </c>
      <c r="S105" s="3">
        <f t="shared" si="19"/>
        <v>5230</v>
      </c>
      <c r="T105" s="14">
        <f t="shared" si="20"/>
        <v>0.39177991382167715</v>
      </c>
      <c r="U105" s="5">
        <f t="shared" si="21"/>
        <v>5910</v>
      </c>
      <c r="V105" s="14">
        <f t="shared" si="22"/>
        <v>0.6267815710971163</v>
      </c>
      <c r="W105" s="5">
        <f t="shared" si="23"/>
        <v>9455</v>
      </c>
      <c r="X105" s="6">
        <v>405</v>
      </c>
    </row>
    <row r="106" spans="1:24">
      <c r="A106" t="s">
        <v>40</v>
      </c>
      <c r="B106" s="6" t="s">
        <v>58</v>
      </c>
      <c r="C106" s="8" t="s">
        <v>15</v>
      </c>
      <c r="D106" s="10" t="s">
        <v>68</v>
      </c>
      <c r="E106" s="7">
        <v>795770</v>
      </c>
      <c r="F106" s="14">
        <f t="shared" si="12"/>
        <v>9.9896955150357514E-2</v>
      </c>
      <c r="G106" s="7">
        <v>79495</v>
      </c>
      <c r="H106" s="14">
        <f t="shared" si="13"/>
        <v>0.75781318722746527</v>
      </c>
      <c r="I106" s="7">
        <v>603045</v>
      </c>
      <c r="J106" s="14">
        <f t="shared" si="14"/>
        <v>9.5567814820865321E-2</v>
      </c>
      <c r="K106" s="7">
        <v>76050</v>
      </c>
      <c r="L106" s="14">
        <f t="shared" si="15"/>
        <v>4.0463953152292745E-3</v>
      </c>
      <c r="M106" s="7">
        <v>3220</v>
      </c>
      <c r="N106" s="14">
        <f t="shared" si="16"/>
        <v>2.487527803259736E-2</v>
      </c>
      <c r="O106" s="7">
        <v>19795</v>
      </c>
      <c r="P106" s="14">
        <f t="shared" si="17"/>
        <v>9.7389949357226332E-4</v>
      </c>
      <c r="Q106" s="6">
        <v>775</v>
      </c>
      <c r="R106" s="14">
        <f t="shared" si="18"/>
        <v>0.20048506478002437</v>
      </c>
      <c r="S106" s="3">
        <f t="shared" si="19"/>
        <v>159540</v>
      </c>
      <c r="T106" s="14">
        <f t="shared" si="20"/>
        <v>0.22536034281262174</v>
      </c>
      <c r="U106" s="5">
        <f t="shared" si="21"/>
        <v>179335</v>
      </c>
      <c r="V106" s="14">
        <f t="shared" si="22"/>
        <v>0.78268846526006253</v>
      </c>
      <c r="W106" s="5">
        <f t="shared" si="23"/>
        <v>622840</v>
      </c>
      <c r="X106" s="7">
        <v>13390</v>
      </c>
    </row>
    <row r="107" spans="1:24">
      <c r="A107" t="s">
        <v>40</v>
      </c>
      <c r="B107" s="6" t="s">
        <v>59</v>
      </c>
      <c r="C107" s="8" t="s">
        <v>15</v>
      </c>
      <c r="D107" s="10" t="s">
        <v>68</v>
      </c>
      <c r="E107" s="7">
        <v>330790</v>
      </c>
      <c r="F107" s="14">
        <f t="shared" si="12"/>
        <v>9.2475588742102238E-2</v>
      </c>
      <c r="G107" s="7">
        <v>30590</v>
      </c>
      <c r="H107" s="14">
        <f t="shared" si="13"/>
        <v>0.77603615586928265</v>
      </c>
      <c r="I107" s="7">
        <v>256705</v>
      </c>
      <c r="J107" s="14">
        <f t="shared" si="14"/>
        <v>8.617249614559086E-2</v>
      </c>
      <c r="K107" s="7">
        <v>28505</v>
      </c>
      <c r="L107" s="14">
        <f t="shared" si="15"/>
        <v>4.4287916805223855E-3</v>
      </c>
      <c r="M107" s="7">
        <v>1465</v>
      </c>
      <c r="N107" s="14">
        <f t="shared" si="16"/>
        <v>2.238580368209438E-2</v>
      </c>
      <c r="O107" s="7">
        <v>7405</v>
      </c>
      <c r="P107" s="14">
        <f t="shared" si="17"/>
        <v>1.163880407509296E-3</v>
      </c>
      <c r="Q107" s="6">
        <v>385</v>
      </c>
      <c r="R107" s="14">
        <f t="shared" si="18"/>
        <v>0.18424075697572478</v>
      </c>
      <c r="S107" s="3">
        <f t="shared" si="19"/>
        <v>60945</v>
      </c>
      <c r="T107" s="14">
        <f t="shared" si="20"/>
        <v>0.20662656065781915</v>
      </c>
      <c r="U107" s="5">
        <f t="shared" si="21"/>
        <v>68350</v>
      </c>
      <c r="V107" s="14">
        <f t="shared" si="22"/>
        <v>0.79842195955137696</v>
      </c>
      <c r="W107" s="5">
        <f t="shared" si="23"/>
        <v>264110</v>
      </c>
      <c r="X107" s="7">
        <v>5725</v>
      </c>
    </row>
    <row r="108" spans="1:24">
      <c r="A108" t="s">
        <v>40</v>
      </c>
      <c r="B108" s="6" t="s">
        <v>60</v>
      </c>
      <c r="C108" s="8" t="s">
        <v>15</v>
      </c>
      <c r="D108" s="10" t="s">
        <v>68</v>
      </c>
      <c r="E108" s="7">
        <v>38195</v>
      </c>
      <c r="F108" s="14">
        <f t="shared" si="12"/>
        <v>0.10760570755334468</v>
      </c>
      <c r="G108" s="7">
        <v>4110</v>
      </c>
      <c r="H108" s="14">
        <f t="shared" si="13"/>
        <v>0.69956800628354499</v>
      </c>
      <c r="I108" s="7">
        <v>26720</v>
      </c>
      <c r="J108" s="14">
        <f t="shared" si="14"/>
        <v>0.12200549810184579</v>
      </c>
      <c r="K108" s="7">
        <v>4660</v>
      </c>
      <c r="L108" s="14">
        <f t="shared" si="15"/>
        <v>5.6290090325958895E-3</v>
      </c>
      <c r="M108" s="6">
        <v>215</v>
      </c>
      <c r="N108" s="14">
        <f t="shared" si="16"/>
        <v>3.6261290744861896E-2</v>
      </c>
      <c r="O108" s="7">
        <v>1385</v>
      </c>
      <c r="P108" s="14">
        <f t="shared" si="17"/>
        <v>3.9272156041366671E-4</v>
      </c>
      <c r="Q108" s="6">
        <v>15</v>
      </c>
      <c r="R108" s="14">
        <f t="shared" si="18"/>
        <v>0.23563293624820003</v>
      </c>
      <c r="S108" s="3">
        <f t="shared" si="19"/>
        <v>9000</v>
      </c>
      <c r="T108" s="14">
        <f t="shared" si="20"/>
        <v>0.27189422699306193</v>
      </c>
      <c r="U108" s="5">
        <f t="shared" si="21"/>
        <v>10385</v>
      </c>
      <c r="V108" s="14">
        <f t="shared" si="22"/>
        <v>0.73582929702840683</v>
      </c>
      <c r="W108" s="5">
        <f t="shared" si="23"/>
        <v>28105</v>
      </c>
      <c r="X108" s="7">
        <v>1090</v>
      </c>
    </row>
    <row r="109" spans="1:24">
      <c r="A109" t="s">
        <v>40</v>
      </c>
      <c r="B109" s="6" t="s">
        <v>61</v>
      </c>
      <c r="C109" s="8" t="s">
        <v>15</v>
      </c>
      <c r="D109" s="10" t="s">
        <v>68</v>
      </c>
      <c r="E109" s="7">
        <v>187035</v>
      </c>
      <c r="F109" s="14">
        <f t="shared" si="12"/>
        <v>0.1781217419199615</v>
      </c>
      <c r="G109" s="7">
        <v>33315</v>
      </c>
      <c r="H109" s="14">
        <f t="shared" si="13"/>
        <v>0.53693159034405324</v>
      </c>
      <c r="I109" s="7">
        <v>100425</v>
      </c>
      <c r="J109" s="14">
        <f t="shared" si="14"/>
        <v>0.15932846793380917</v>
      </c>
      <c r="K109" s="7">
        <v>29800</v>
      </c>
      <c r="L109" s="14">
        <f t="shared" si="15"/>
        <v>1.0158526479001256E-2</v>
      </c>
      <c r="M109" s="7">
        <v>1900</v>
      </c>
      <c r="N109" s="14">
        <f t="shared" si="16"/>
        <v>8.8165316651963532E-2</v>
      </c>
      <c r="O109" s="7">
        <v>16490</v>
      </c>
      <c r="P109" s="14">
        <f t="shared" si="17"/>
        <v>1.7643756516160078E-3</v>
      </c>
      <c r="Q109" s="6">
        <v>330</v>
      </c>
      <c r="R109" s="14">
        <f t="shared" si="18"/>
        <v>0.34937311198438797</v>
      </c>
      <c r="S109" s="3">
        <f t="shared" si="19"/>
        <v>65345</v>
      </c>
      <c r="T109" s="14">
        <f t="shared" si="20"/>
        <v>0.43753842863635151</v>
      </c>
      <c r="U109" s="5">
        <f t="shared" si="21"/>
        <v>81835</v>
      </c>
      <c r="V109" s="14">
        <f t="shared" si="22"/>
        <v>0.62509690699601683</v>
      </c>
      <c r="W109" s="5">
        <f t="shared" si="23"/>
        <v>116915</v>
      </c>
      <c r="X109" s="7">
        <v>4780</v>
      </c>
    </row>
    <row r="110" spans="1:24">
      <c r="A110" t="s">
        <v>40</v>
      </c>
      <c r="B110" s="6" t="s">
        <v>62</v>
      </c>
      <c r="C110" s="8" t="s">
        <v>27</v>
      </c>
      <c r="D110" s="10" t="s">
        <v>68</v>
      </c>
      <c r="E110" s="7">
        <v>349595</v>
      </c>
      <c r="F110" s="14">
        <f t="shared" si="12"/>
        <v>9.8113531372016186E-2</v>
      </c>
      <c r="G110" s="7">
        <v>34300</v>
      </c>
      <c r="H110" s="14">
        <f t="shared" si="13"/>
        <v>0.6224917404425121</v>
      </c>
      <c r="I110" s="7">
        <v>217620</v>
      </c>
      <c r="J110" s="14">
        <f t="shared" si="14"/>
        <v>0.11031336260530042</v>
      </c>
      <c r="K110" s="7">
        <v>38565</v>
      </c>
      <c r="L110" s="14">
        <f t="shared" si="15"/>
        <v>2.9033596018249691E-3</v>
      </c>
      <c r="M110" s="7">
        <v>1015</v>
      </c>
      <c r="N110" s="14">
        <f t="shared" si="16"/>
        <v>0.14279380425921423</v>
      </c>
      <c r="O110" s="7">
        <v>49920</v>
      </c>
      <c r="P110" s="14">
        <f t="shared" si="17"/>
        <v>1.0297630114847181E-3</v>
      </c>
      <c r="Q110" s="6">
        <v>360</v>
      </c>
      <c r="R110" s="14">
        <f t="shared" si="18"/>
        <v>0.21236001659062628</v>
      </c>
      <c r="S110" s="3">
        <f t="shared" si="19"/>
        <v>74240</v>
      </c>
      <c r="T110" s="14">
        <f t="shared" si="20"/>
        <v>0.35515382084984054</v>
      </c>
      <c r="U110" s="5">
        <f t="shared" si="21"/>
        <v>124160</v>
      </c>
      <c r="V110" s="14">
        <f t="shared" si="22"/>
        <v>0.76528554470172627</v>
      </c>
      <c r="W110" s="5">
        <f t="shared" si="23"/>
        <v>267540</v>
      </c>
      <c r="X110" s="7">
        <v>7810</v>
      </c>
    </row>
    <row r="111" spans="1:24">
      <c r="A111" t="s">
        <v>40</v>
      </c>
      <c r="B111" s="6" t="s">
        <v>63</v>
      </c>
      <c r="C111" s="8" t="s">
        <v>27</v>
      </c>
      <c r="D111" s="10" t="s">
        <v>68</v>
      </c>
      <c r="E111" s="7">
        <v>28625</v>
      </c>
      <c r="F111" s="14">
        <f t="shared" si="12"/>
        <v>6.6200873362445414E-2</v>
      </c>
      <c r="G111" s="7">
        <v>1895</v>
      </c>
      <c r="H111" s="14">
        <f t="shared" si="13"/>
        <v>0.81589519650655018</v>
      </c>
      <c r="I111" s="7">
        <v>23355</v>
      </c>
      <c r="J111" s="14">
        <f t="shared" si="14"/>
        <v>4.506550218340611E-2</v>
      </c>
      <c r="K111" s="7">
        <v>1290</v>
      </c>
      <c r="L111" s="14">
        <f t="shared" si="15"/>
        <v>8.7336244541484718E-4</v>
      </c>
      <c r="M111" s="6">
        <v>25</v>
      </c>
      <c r="N111" s="14">
        <f t="shared" si="16"/>
        <v>5.8515283842794759E-2</v>
      </c>
      <c r="O111" s="7">
        <v>1675</v>
      </c>
      <c r="P111" s="14">
        <f t="shared" si="17"/>
        <v>8.7336244541484718E-4</v>
      </c>
      <c r="Q111" s="6">
        <v>25</v>
      </c>
      <c r="R111" s="14">
        <f t="shared" si="18"/>
        <v>0.11301310043668122</v>
      </c>
      <c r="S111" s="3">
        <f t="shared" si="19"/>
        <v>3235</v>
      </c>
      <c r="T111" s="14">
        <f t="shared" si="20"/>
        <v>0.17152838427947598</v>
      </c>
      <c r="U111" s="5">
        <f t="shared" si="21"/>
        <v>4910</v>
      </c>
      <c r="V111" s="14">
        <f t="shared" si="22"/>
        <v>0.87441048034934499</v>
      </c>
      <c r="W111" s="5">
        <f t="shared" si="23"/>
        <v>25030</v>
      </c>
      <c r="X111" s="6">
        <v>360</v>
      </c>
    </row>
    <row r="112" spans="1:24">
      <c r="A112" t="s">
        <v>40</v>
      </c>
      <c r="B112" s="6" t="s">
        <v>64</v>
      </c>
      <c r="C112" s="8" t="s">
        <v>27</v>
      </c>
      <c r="D112" s="10" t="s">
        <v>68</v>
      </c>
      <c r="E112" s="7">
        <v>520975</v>
      </c>
      <c r="F112" s="14">
        <f t="shared" si="12"/>
        <v>0.15871203032775086</v>
      </c>
      <c r="G112" s="7">
        <v>82685</v>
      </c>
      <c r="H112" s="14">
        <f t="shared" si="13"/>
        <v>0.42504918662123903</v>
      </c>
      <c r="I112" s="7">
        <v>221440</v>
      </c>
      <c r="J112" s="14">
        <f t="shared" si="14"/>
        <v>0.27804597149575316</v>
      </c>
      <c r="K112" s="7">
        <v>144855</v>
      </c>
      <c r="L112" s="14">
        <f t="shared" si="15"/>
        <v>7.7067037765727719E-3</v>
      </c>
      <c r="M112" s="7">
        <v>4015</v>
      </c>
      <c r="N112" s="14">
        <f t="shared" si="16"/>
        <v>0.10049426555976775</v>
      </c>
      <c r="O112" s="7">
        <v>52355</v>
      </c>
      <c r="P112" s="14">
        <f t="shared" si="17"/>
        <v>3.1767359278276307E-3</v>
      </c>
      <c r="Q112" s="7">
        <v>1655</v>
      </c>
      <c r="R112" s="14">
        <f t="shared" si="18"/>
        <v>0.44764144152790442</v>
      </c>
      <c r="S112" s="3">
        <f t="shared" si="19"/>
        <v>233210</v>
      </c>
      <c r="T112" s="14">
        <f t="shared" si="20"/>
        <v>0.54813570708767212</v>
      </c>
      <c r="U112" s="5">
        <f t="shared" si="21"/>
        <v>285565</v>
      </c>
      <c r="V112" s="14">
        <f t="shared" si="22"/>
        <v>0.52554345218100673</v>
      </c>
      <c r="W112" s="5">
        <f t="shared" si="23"/>
        <v>273795</v>
      </c>
      <c r="X112" s="7">
        <v>13975</v>
      </c>
    </row>
    <row r="113" spans="1:24">
      <c r="A113" t="s">
        <v>40</v>
      </c>
      <c r="B113" s="6" t="s">
        <v>65</v>
      </c>
      <c r="C113" s="8" t="s">
        <v>19</v>
      </c>
      <c r="D113" s="10" t="s">
        <v>68</v>
      </c>
      <c r="E113" s="7">
        <v>214150</v>
      </c>
      <c r="F113" s="14">
        <f t="shared" si="12"/>
        <v>0.20602381508288584</v>
      </c>
      <c r="G113" s="7">
        <v>44120</v>
      </c>
      <c r="H113" s="14">
        <f t="shared" si="13"/>
        <v>0.33703011907541441</v>
      </c>
      <c r="I113" s="7">
        <v>72175</v>
      </c>
      <c r="J113" s="14">
        <f t="shared" si="14"/>
        <v>0.18683166005136587</v>
      </c>
      <c r="K113" s="7">
        <v>40010</v>
      </c>
      <c r="L113" s="14">
        <f t="shared" si="15"/>
        <v>2.591641372869484E-3</v>
      </c>
      <c r="M113" s="6">
        <v>555</v>
      </c>
      <c r="N113" s="14">
        <f t="shared" si="16"/>
        <v>0.24760681765117909</v>
      </c>
      <c r="O113" s="7">
        <v>53025</v>
      </c>
      <c r="P113" s="14">
        <f t="shared" si="17"/>
        <v>1.1207097828624796E-3</v>
      </c>
      <c r="Q113" s="6">
        <v>240</v>
      </c>
      <c r="R113" s="14">
        <f t="shared" si="18"/>
        <v>0.39656782628998366</v>
      </c>
      <c r="S113" s="3">
        <f t="shared" si="19"/>
        <v>84925</v>
      </c>
      <c r="T113" s="14">
        <f t="shared" si="20"/>
        <v>0.64417464394116275</v>
      </c>
      <c r="U113" s="5">
        <f t="shared" si="21"/>
        <v>137950</v>
      </c>
      <c r="V113" s="14">
        <f t="shared" si="22"/>
        <v>0.58463693672659356</v>
      </c>
      <c r="W113" s="5">
        <f t="shared" si="23"/>
        <v>125200</v>
      </c>
      <c r="X113" s="7">
        <v>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Aleta White</dc:creator>
  <cp:lastModifiedBy>Mary Aleta White</cp:lastModifiedBy>
  <dcterms:created xsi:type="dcterms:W3CDTF">2022-10-07T03:52:35Z</dcterms:created>
  <dcterms:modified xsi:type="dcterms:W3CDTF">2022-10-22T00:16:37Z</dcterms:modified>
</cp:coreProperties>
</file>