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ta\Documents\AZERA\"/>
    </mc:Choice>
  </mc:AlternateContent>
  <xr:revisionPtr revIDLastSave="0" documentId="13_ncr:1_{5B751085-2A65-49A2-B1AE-02C83C5A8563}" xr6:coauthVersionLast="47" xr6:coauthVersionMax="47" xr10:uidLastSave="{00000000-0000-0000-0000-000000000000}"/>
  <bookViews>
    <workbookView xWindow="23880" yWindow="-120" windowWidth="25440" windowHeight="15390" activeTab="3" xr2:uid="{CEF7A3B5-83FA-4552-9D39-806C57DD65C4}"/>
  </bookViews>
  <sheets>
    <sheet name="Sheet1 (2)" sheetId="3" r:id="rId1"/>
    <sheet name="Sheet1" sheetId="1" r:id="rId2"/>
    <sheet name="Sheet2" sheetId="2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" i="4" l="1"/>
  <c r="P4" i="4"/>
  <c r="P5" i="4"/>
  <c r="P6" i="4"/>
  <c r="P2" i="4"/>
  <c r="N35" i="4"/>
  <c r="O35" i="4" s="1"/>
  <c r="F35" i="4"/>
  <c r="N34" i="4"/>
  <c r="O34" i="4" s="1"/>
  <c r="F34" i="4"/>
  <c r="N43" i="4"/>
  <c r="O43" i="4" s="1"/>
  <c r="F43" i="4"/>
  <c r="N49" i="4"/>
  <c r="O49" i="4" s="1"/>
  <c r="F49" i="4"/>
  <c r="N48" i="4"/>
  <c r="O48" i="4" s="1"/>
  <c r="F48" i="4"/>
  <c r="N47" i="4"/>
  <c r="O47" i="4" s="1"/>
  <c r="F47" i="4"/>
  <c r="N52" i="4"/>
  <c r="O52" i="4" s="1"/>
  <c r="F52" i="4"/>
  <c r="N51" i="4"/>
  <c r="O51" i="4" s="1"/>
  <c r="F51" i="4"/>
  <c r="N60" i="4"/>
  <c r="O60" i="4" s="1"/>
  <c r="F60" i="4"/>
  <c r="N59" i="4"/>
  <c r="O59" i="4" s="1"/>
  <c r="F59" i="4"/>
  <c r="N58" i="4"/>
  <c r="O58" i="4" s="1"/>
  <c r="F58" i="4"/>
  <c r="N9" i="4"/>
  <c r="O9" i="4" s="1"/>
  <c r="F9" i="4"/>
  <c r="N8" i="4"/>
  <c r="O8" i="4" s="1"/>
  <c r="F8" i="4"/>
  <c r="N33" i="4"/>
  <c r="O33" i="4" s="1"/>
  <c r="F33" i="4"/>
  <c r="N31" i="4"/>
  <c r="O31" i="4" s="1"/>
  <c r="F31" i="4"/>
  <c r="N30" i="4"/>
  <c r="O30" i="4" s="1"/>
  <c r="F30" i="4"/>
  <c r="N29" i="4"/>
  <c r="O29" i="4" s="1"/>
  <c r="F29" i="4"/>
  <c r="N28" i="4"/>
  <c r="O28" i="4" s="1"/>
  <c r="F28" i="4"/>
  <c r="N27" i="4"/>
  <c r="O27" i="4" s="1"/>
  <c r="F27" i="4"/>
  <c r="N26" i="4"/>
  <c r="O26" i="4" s="1"/>
  <c r="F26" i="4"/>
  <c r="N25" i="4"/>
  <c r="O25" i="4" s="1"/>
  <c r="F25" i="4"/>
  <c r="N24" i="4"/>
  <c r="O24" i="4" s="1"/>
  <c r="F24" i="4"/>
  <c r="N23" i="4"/>
  <c r="O23" i="4" s="1"/>
  <c r="F23" i="4"/>
  <c r="N22" i="4"/>
  <c r="O22" i="4" s="1"/>
  <c r="F22" i="4"/>
  <c r="N20" i="4"/>
  <c r="O20" i="4" s="1"/>
  <c r="F20" i="4"/>
  <c r="N19" i="4"/>
  <c r="O19" i="4" s="1"/>
  <c r="F19" i="4"/>
  <c r="N18" i="4"/>
  <c r="O18" i="4" s="1"/>
  <c r="F18" i="4"/>
  <c r="N57" i="4"/>
  <c r="O57" i="4" s="1"/>
  <c r="F57" i="4"/>
  <c r="N17" i="4"/>
  <c r="O17" i="4" s="1"/>
  <c r="F17" i="4"/>
  <c r="N56" i="4"/>
  <c r="O56" i="4" s="1"/>
  <c r="F56" i="4"/>
  <c r="N6" i="4"/>
  <c r="O6" i="4" s="1"/>
  <c r="F6" i="4"/>
  <c r="N5" i="4"/>
  <c r="O5" i="4" s="1"/>
  <c r="F5" i="4"/>
  <c r="N55" i="4"/>
  <c r="O55" i="4" s="1"/>
  <c r="F55" i="4"/>
  <c r="N46" i="4"/>
  <c r="O46" i="4" s="1"/>
  <c r="F46" i="4"/>
  <c r="N4" i="4"/>
  <c r="O4" i="4" s="1"/>
  <c r="F4" i="4"/>
  <c r="N54" i="4"/>
  <c r="O54" i="4" s="1"/>
  <c r="F54" i="4"/>
  <c r="N16" i="4"/>
  <c r="O16" i="4" s="1"/>
  <c r="F16" i="4"/>
  <c r="N53" i="4"/>
  <c r="O53" i="4" s="1"/>
  <c r="F53" i="4"/>
  <c r="N45" i="4"/>
  <c r="O45" i="4" s="1"/>
  <c r="F45" i="4"/>
  <c r="N44" i="4"/>
  <c r="O44" i="4" s="1"/>
  <c r="F44" i="4"/>
  <c r="N15" i="4"/>
  <c r="O15" i="4" s="1"/>
  <c r="F15" i="4"/>
  <c r="N3" i="4"/>
  <c r="O3" i="4" s="1"/>
  <c r="F3" i="4"/>
  <c r="N14" i="4"/>
  <c r="O14" i="4" s="1"/>
  <c r="F14" i="4"/>
  <c r="N13" i="4"/>
  <c r="O13" i="4" s="1"/>
  <c r="F13" i="4"/>
  <c r="N12" i="4"/>
  <c r="O12" i="4" s="1"/>
  <c r="F12" i="4"/>
  <c r="N11" i="4"/>
  <c r="O11" i="4" s="1"/>
  <c r="F11" i="4"/>
  <c r="N42" i="4"/>
  <c r="O42" i="4" s="1"/>
  <c r="F42" i="4"/>
  <c r="N41" i="4"/>
  <c r="O41" i="4" s="1"/>
  <c r="F41" i="4"/>
  <c r="N40" i="4"/>
  <c r="O40" i="4" s="1"/>
  <c r="F40" i="4"/>
  <c r="O50" i="4"/>
  <c r="N50" i="4"/>
  <c r="F50" i="4"/>
  <c r="N39" i="4"/>
  <c r="O39" i="4" s="1"/>
  <c r="F39" i="4"/>
  <c r="N38" i="4"/>
  <c r="O38" i="4" s="1"/>
  <c r="F38" i="4"/>
  <c r="N2" i="4"/>
  <c r="O2" i="4" s="1"/>
  <c r="F2" i="4"/>
  <c r="N37" i="4"/>
  <c r="O37" i="4" s="1"/>
  <c r="F37" i="4"/>
  <c r="N36" i="4"/>
  <c r="O36" i="4" s="1"/>
  <c r="F36" i="4"/>
  <c r="N32" i="4"/>
  <c r="O32" i="4" s="1"/>
  <c r="F32" i="4"/>
  <c r="N21" i="4"/>
  <c r="O21" i="4" s="1"/>
  <c r="F21" i="4"/>
  <c r="N10" i="4"/>
  <c r="O10" i="4" s="1"/>
  <c r="F10" i="4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13" i="3"/>
  <c r="C13" i="3"/>
  <c r="D13" i="3"/>
  <c r="D14" i="3" s="1"/>
  <c r="E13" i="3"/>
  <c r="F13" i="3"/>
  <c r="G13" i="3"/>
  <c r="G14" i="3" s="1"/>
  <c r="H13" i="3"/>
  <c r="I13" i="3"/>
  <c r="J13" i="3"/>
  <c r="J14" i="3" s="1"/>
  <c r="K13" i="3"/>
  <c r="L13" i="3"/>
  <c r="M13" i="3"/>
  <c r="M14" i="3" s="1"/>
  <c r="N13" i="3"/>
  <c r="O13" i="3"/>
  <c r="P13" i="3"/>
  <c r="P14" i="3" s="1"/>
  <c r="Q13" i="3"/>
  <c r="R13" i="3"/>
  <c r="S13" i="3"/>
  <c r="S14" i="3" s="1"/>
  <c r="T13" i="3"/>
  <c r="U13" i="3"/>
  <c r="V13" i="3"/>
  <c r="V14" i="3" s="1"/>
  <c r="W13" i="3"/>
  <c r="X13" i="3"/>
  <c r="Y13" i="3"/>
  <c r="Y14" i="3" s="1"/>
  <c r="Z13" i="3"/>
  <c r="AA13" i="3"/>
  <c r="AB13" i="3"/>
  <c r="AB14" i="3" s="1"/>
  <c r="AC13" i="3"/>
  <c r="AD13" i="3"/>
  <c r="AE13" i="3"/>
  <c r="AE14" i="3" s="1"/>
  <c r="AF13" i="3"/>
  <c r="AG13" i="3"/>
  <c r="AH13" i="3"/>
  <c r="AH14" i="3" s="1"/>
  <c r="AI13" i="3"/>
  <c r="AJ13" i="3"/>
  <c r="AK13" i="3"/>
  <c r="AK14" i="3" s="1"/>
  <c r="AL13" i="3"/>
  <c r="AM13" i="3"/>
  <c r="AN13" i="3"/>
  <c r="AN14" i="3" s="1"/>
  <c r="AO13" i="3"/>
  <c r="AP13" i="3"/>
  <c r="AQ13" i="3"/>
  <c r="AQ14" i="3" s="1"/>
  <c r="AR13" i="3"/>
  <c r="AS13" i="3"/>
  <c r="AT13" i="3"/>
  <c r="AT14" i="3" s="1"/>
  <c r="AU13" i="3"/>
  <c r="AV13" i="3"/>
  <c r="AW13" i="3"/>
  <c r="AW14" i="3" s="1"/>
  <c r="AX13" i="3"/>
  <c r="AY13" i="3"/>
  <c r="AZ13" i="3"/>
  <c r="AZ14" i="3" s="1"/>
  <c r="BA13" i="3"/>
  <c r="BB13" i="3"/>
  <c r="BC13" i="3"/>
  <c r="BC14" i="3" s="1"/>
  <c r="BD13" i="3"/>
  <c r="BE13" i="3"/>
  <c r="BF13" i="3"/>
  <c r="BF14" i="3" s="1"/>
  <c r="BG13" i="3"/>
  <c r="B14" i="3"/>
  <c r="C14" i="3"/>
  <c r="E14" i="3"/>
  <c r="F14" i="3"/>
  <c r="H14" i="3"/>
  <c r="I14" i="3"/>
  <c r="K14" i="3"/>
  <c r="L14" i="3"/>
  <c r="N14" i="3"/>
  <c r="O14" i="3"/>
  <c r="Q14" i="3"/>
  <c r="R14" i="3"/>
  <c r="T14" i="3"/>
  <c r="U14" i="3"/>
  <c r="W14" i="3"/>
  <c r="X14" i="3"/>
  <c r="Z14" i="3"/>
  <c r="AA14" i="3"/>
  <c r="AC14" i="3"/>
  <c r="AD14" i="3"/>
  <c r="AF14" i="3"/>
  <c r="AG14" i="3"/>
  <c r="AI14" i="3"/>
  <c r="AJ14" i="3"/>
  <c r="AL14" i="3"/>
  <c r="AM14" i="3"/>
  <c r="AO14" i="3"/>
  <c r="AP14" i="3"/>
  <c r="AR14" i="3"/>
  <c r="AS14" i="3"/>
  <c r="AU14" i="3"/>
  <c r="AV14" i="3"/>
  <c r="AX14" i="3"/>
  <c r="AY14" i="3"/>
  <c r="BA14" i="3"/>
  <c r="BB14" i="3"/>
  <c r="BD14" i="3"/>
  <c r="BE14" i="3"/>
  <c r="BG14" i="3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14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13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5" i="2"/>
</calcChain>
</file>

<file path=xl/sharedStrings.xml><?xml version="1.0" encoding="utf-8"?>
<sst xmlns="http://schemas.openxmlformats.org/spreadsheetml/2006/main" count="502" uniqueCount="82">
  <si>
    <t>Race</t>
  </si>
  <si>
    <t>Engineer</t>
  </si>
  <si>
    <t>Counselor</t>
  </si>
  <si>
    <t>Nurse</t>
  </si>
  <si>
    <t>Teacher</t>
  </si>
  <si>
    <t>Hairstylist</t>
  </si>
  <si>
    <t>WOC</t>
  </si>
  <si>
    <t>Was</t>
  </si>
  <si>
    <t>Job</t>
  </si>
  <si>
    <t>Total</t>
  </si>
  <si>
    <t>HispanicOther</t>
  </si>
  <si>
    <t>White</t>
  </si>
  <si>
    <t>Black</t>
  </si>
  <si>
    <t>AI</t>
  </si>
  <si>
    <t>Asian</t>
  </si>
  <si>
    <t>PI</t>
  </si>
  <si>
    <t>BW</t>
  </si>
  <si>
    <t>WAI</t>
  </si>
  <si>
    <t>BAI</t>
  </si>
  <si>
    <t>WAS</t>
  </si>
  <si>
    <t>WOCA</t>
  </si>
  <si>
    <t>Engineer20</t>
  </si>
  <si>
    <t>Engineer19</t>
  </si>
  <si>
    <t>Engineer18</t>
  </si>
  <si>
    <t>Engineer17</t>
  </si>
  <si>
    <t>Teacher6</t>
  </si>
  <si>
    <t>Engineer16</t>
  </si>
  <si>
    <t>Teacher5</t>
  </si>
  <si>
    <t>Counselor5</t>
  </si>
  <si>
    <t>Counselor4</t>
  </si>
  <si>
    <t>Teacher4</t>
  </si>
  <si>
    <t>Nurse3</t>
  </si>
  <si>
    <t>Counselor3</t>
  </si>
  <si>
    <t>Teacher3</t>
  </si>
  <si>
    <t>Engineer15</t>
  </si>
  <si>
    <t>Teacher2</t>
  </si>
  <si>
    <t>Nurse2</t>
  </si>
  <si>
    <t>Nurse1</t>
  </si>
  <si>
    <t>Engineer14</t>
  </si>
  <si>
    <t>Counselor2</t>
  </si>
  <si>
    <t>Engineer13</t>
  </si>
  <si>
    <t>Engineer12</t>
  </si>
  <si>
    <t>Engineer11</t>
  </si>
  <si>
    <t>Engineer10</t>
  </si>
  <si>
    <t>Hairstylist1</t>
  </si>
  <si>
    <t>Engineer9</t>
  </si>
  <si>
    <t>Engineer8</t>
  </si>
  <si>
    <t>Teacher1</t>
  </si>
  <si>
    <t>Engineer7</t>
  </si>
  <si>
    <t>Engineer6</t>
  </si>
  <si>
    <t>Counselor1</t>
  </si>
  <si>
    <t>Engineer5</t>
  </si>
  <si>
    <t>Engineer4</t>
  </si>
  <si>
    <t>Engineer3</t>
  </si>
  <si>
    <t>Engineer2</t>
  </si>
  <si>
    <t>Engineer1</t>
  </si>
  <si>
    <t>Engineer21</t>
  </si>
  <si>
    <t>Engineer22</t>
  </si>
  <si>
    <t>Engineer23</t>
  </si>
  <si>
    <t>Engineer24</t>
  </si>
  <si>
    <t>Engineer25</t>
  </si>
  <si>
    <t>Engineer26</t>
  </si>
  <si>
    <t>Engineer27</t>
  </si>
  <si>
    <t>Engineer28</t>
  </si>
  <si>
    <t>Engineer29</t>
  </si>
  <si>
    <t>Engineer30</t>
  </si>
  <si>
    <t>Engineer31</t>
  </si>
  <si>
    <t>Engineer32</t>
  </si>
  <si>
    <t>Teacher7</t>
  </si>
  <si>
    <t>Teacher8</t>
  </si>
  <si>
    <t>Teacher9</t>
  </si>
  <si>
    <t>Teacher10</t>
  </si>
  <si>
    <t>Teacher11</t>
  </si>
  <si>
    <t>Nurse4</t>
  </si>
  <si>
    <t>Nurse5</t>
  </si>
  <si>
    <t>Nurse6</t>
  </si>
  <si>
    <t>Hairstylist2</t>
  </si>
  <si>
    <t>Counselor6</t>
  </si>
  <si>
    <t>Counselor7</t>
  </si>
  <si>
    <t>2006-10</t>
  </si>
  <si>
    <t>2014-18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</si>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</sst>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NumberFormat="1" applyFont="1" applyFill="1" applyBorder="1" applyAlignment="1">
      <alignment horizontal="left" vertical="top"/>
    </xf>
    <xf numFmtId="3" fontId="1" fillId="2" borderId="1" xfId="0" applyNumberFormat="1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3" fontId="0" fillId="3" borderId="1" xfId="0" applyNumberFormat="1" applyFill="1" applyBorder="1"/>
    <xf numFmtId="0" fontId="0" fillId="3" borderId="0" xfId="0" applyFill="1"/>
    <xf numFmtId="3" fontId="0" fillId="0" borderId="0" xfId="0" applyNumberFormat="1"/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top"/>
    </xf>
    <xf numFmtId="0" fontId="0" fillId="3" borderId="5" xfId="0" applyFill="1" applyBorder="1"/>
    <xf numFmtId="0" fontId="0" fillId="0" borderId="5" xfId="0" applyBorder="1"/>
    <xf numFmtId="3" fontId="1" fillId="2" borderId="5" xfId="0" applyNumberFormat="1" applyFont="1" applyFill="1" applyBorder="1" applyAlignment="1">
      <alignment horizontal="left" vertical="top"/>
    </xf>
    <xf numFmtId="3" fontId="0" fillId="3" borderId="5" xfId="0" applyNumberFormat="1" applyFill="1" applyBorder="1"/>
    <xf numFmtId="3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A40D-54E7-4B04-ACFC-7EDDFF7CB4AB}">
  <dimension ref="A1:BG14"/>
  <sheetViews>
    <sheetView topLeftCell="AI1" workbookViewId="0">
      <selection sqref="A1:BG14"/>
    </sheetView>
  </sheetViews>
  <sheetFormatPr defaultRowHeight="15"/>
  <cols>
    <col min="1" max="32" width="9.140625" style="18"/>
    <col min="33" max="33" width="11.85546875" style="18" customWidth="1"/>
    <col min="34" max="34" width="10.7109375" style="18" customWidth="1"/>
    <col min="35" max="16384" width="9.140625" style="18"/>
  </cols>
  <sheetData>
    <row r="1" spans="1:59">
      <c r="A1" s="15" t="s">
        <v>0</v>
      </c>
      <c r="B1" s="16" t="s">
        <v>55</v>
      </c>
      <c r="C1" s="16" t="s">
        <v>54</v>
      </c>
      <c r="D1" s="16" t="s">
        <v>53</v>
      </c>
      <c r="E1" s="16" t="s">
        <v>52</v>
      </c>
      <c r="F1" s="16" t="s">
        <v>51</v>
      </c>
      <c r="G1" s="16" t="s">
        <v>50</v>
      </c>
      <c r="H1" s="16" t="s">
        <v>49</v>
      </c>
      <c r="I1" s="16" t="s">
        <v>48</v>
      </c>
      <c r="J1" s="16" t="s">
        <v>47</v>
      </c>
      <c r="K1" s="16" t="s">
        <v>46</v>
      </c>
      <c r="L1" s="16" t="s">
        <v>45</v>
      </c>
      <c r="M1" s="16" t="s">
        <v>44</v>
      </c>
      <c r="N1" s="16" t="s">
        <v>43</v>
      </c>
      <c r="O1" s="16" t="s">
        <v>42</v>
      </c>
      <c r="P1" s="16" t="s">
        <v>41</v>
      </c>
      <c r="Q1" s="16" t="s">
        <v>40</v>
      </c>
      <c r="R1" s="16" t="s">
        <v>39</v>
      </c>
      <c r="S1" s="16" t="s">
        <v>38</v>
      </c>
      <c r="T1" s="16" t="s">
        <v>37</v>
      </c>
      <c r="U1" s="16" t="s">
        <v>36</v>
      </c>
      <c r="V1" s="16" t="s">
        <v>35</v>
      </c>
      <c r="W1" s="16" t="s">
        <v>34</v>
      </c>
      <c r="X1" s="16" t="s">
        <v>33</v>
      </c>
      <c r="Y1" s="16" t="s">
        <v>32</v>
      </c>
      <c r="Z1" s="16" t="s">
        <v>31</v>
      </c>
      <c r="AA1" s="16" t="s">
        <v>30</v>
      </c>
      <c r="AB1" s="16" t="s">
        <v>29</v>
      </c>
      <c r="AC1" s="16" t="s">
        <v>28</v>
      </c>
      <c r="AD1" s="16" t="s">
        <v>27</v>
      </c>
      <c r="AE1" s="16" t="s">
        <v>26</v>
      </c>
      <c r="AF1" s="16" t="s">
        <v>25</v>
      </c>
      <c r="AG1" s="17" t="s">
        <v>24</v>
      </c>
      <c r="AH1" s="17" t="s">
        <v>23</v>
      </c>
      <c r="AI1" s="17" t="s">
        <v>22</v>
      </c>
      <c r="AJ1" s="17" t="s">
        <v>21</v>
      </c>
      <c r="AK1" s="17" t="s">
        <v>56</v>
      </c>
      <c r="AL1" s="17" t="s">
        <v>57</v>
      </c>
      <c r="AM1" s="17" t="s">
        <v>58</v>
      </c>
      <c r="AN1" s="17" t="s">
        <v>59</v>
      </c>
      <c r="AO1" s="17" t="s">
        <v>60</v>
      </c>
      <c r="AP1" s="17" t="s">
        <v>61</v>
      </c>
      <c r="AQ1" s="17" t="s">
        <v>62</v>
      </c>
      <c r="AR1" s="17" t="s">
        <v>63</v>
      </c>
      <c r="AS1" s="17" t="s">
        <v>64</v>
      </c>
      <c r="AT1" s="17" t="s">
        <v>65</v>
      </c>
      <c r="AU1" s="17" t="s">
        <v>77</v>
      </c>
      <c r="AV1" s="17" t="s">
        <v>78</v>
      </c>
      <c r="AW1" s="17" t="s">
        <v>68</v>
      </c>
      <c r="AX1" s="17" t="s">
        <v>69</v>
      </c>
      <c r="AY1" s="17" t="s">
        <v>70</v>
      </c>
      <c r="AZ1" s="17" t="s">
        <v>71</v>
      </c>
      <c r="BA1" s="17" t="s">
        <v>72</v>
      </c>
      <c r="BB1" s="17" t="s">
        <v>73</v>
      </c>
      <c r="BC1" s="17" t="s">
        <v>74</v>
      </c>
      <c r="BD1" s="17" t="s">
        <v>75</v>
      </c>
      <c r="BE1" s="17" t="s">
        <v>76</v>
      </c>
      <c r="BF1" s="16" t="s">
        <v>66</v>
      </c>
      <c r="BG1" s="16" t="s">
        <v>67</v>
      </c>
    </row>
    <row r="2" spans="1:59">
      <c r="A2" s="16" t="s">
        <v>11</v>
      </c>
      <c r="B2" s="19">
        <v>11140</v>
      </c>
      <c r="C2" s="19">
        <v>1680</v>
      </c>
      <c r="D2" s="19">
        <v>6315</v>
      </c>
      <c r="E2" s="19">
        <v>28570</v>
      </c>
      <c r="F2" s="19">
        <v>5910</v>
      </c>
      <c r="G2" s="19">
        <v>319025</v>
      </c>
      <c r="H2" s="19">
        <v>32480</v>
      </c>
      <c r="I2" s="19">
        <v>12335</v>
      </c>
      <c r="J2" s="19">
        <v>2197265</v>
      </c>
      <c r="K2" s="19">
        <v>55290</v>
      </c>
      <c r="L2" s="19">
        <v>6230</v>
      </c>
      <c r="M2" s="19">
        <v>494440</v>
      </c>
      <c r="N2" s="19">
        <v>23845</v>
      </c>
      <c r="O2" s="16">
        <v>730</v>
      </c>
      <c r="P2" s="19">
        <v>2560</v>
      </c>
      <c r="Q2" s="19">
        <v>12960</v>
      </c>
      <c r="R2" s="19">
        <v>33755</v>
      </c>
      <c r="S2" s="19">
        <v>35050</v>
      </c>
      <c r="T2" s="19">
        <v>11815</v>
      </c>
      <c r="U2" s="19">
        <v>65165</v>
      </c>
      <c r="V2" s="19">
        <v>387990</v>
      </c>
      <c r="W2" s="19">
        <v>2015</v>
      </c>
      <c r="X2" s="19">
        <v>387810</v>
      </c>
      <c r="Y2" s="19">
        <v>104605</v>
      </c>
      <c r="Z2" s="19">
        <v>1839985</v>
      </c>
      <c r="AA2" s="19">
        <v>380240</v>
      </c>
      <c r="AB2" s="19">
        <v>66700</v>
      </c>
      <c r="AC2" s="19">
        <v>388905</v>
      </c>
      <c r="AD2" s="19">
        <v>155145</v>
      </c>
      <c r="AE2" s="19">
        <v>6325</v>
      </c>
      <c r="AF2" s="19">
        <v>630010</v>
      </c>
      <c r="AG2" s="19">
        <v>48484140</v>
      </c>
      <c r="AH2" s="20">
        <v>47886060</v>
      </c>
      <c r="AI2" s="20">
        <v>10645</v>
      </c>
      <c r="AJ2" s="20">
        <v>1795</v>
      </c>
      <c r="AK2" s="20">
        <v>7360</v>
      </c>
      <c r="AL2" s="20">
        <v>33525</v>
      </c>
      <c r="AM2" s="20">
        <v>3550</v>
      </c>
      <c r="AN2" s="20">
        <v>10685</v>
      </c>
      <c r="AO2" s="20">
        <v>6280</v>
      </c>
      <c r="AP2" s="20">
        <v>27745</v>
      </c>
      <c r="AQ2" s="17">
        <v>835</v>
      </c>
      <c r="AR2" s="20">
        <v>2910</v>
      </c>
      <c r="AS2" s="20">
        <v>15150</v>
      </c>
      <c r="AT2" s="20">
        <v>3115</v>
      </c>
      <c r="AU2" s="20">
        <v>44890</v>
      </c>
      <c r="AV2" s="20">
        <v>75875</v>
      </c>
      <c r="AW2" s="20">
        <v>122610</v>
      </c>
      <c r="AX2" s="20">
        <v>932655</v>
      </c>
      <c r="AY2" s="20">
        <v>374035</v>
      </c>
      <c r="AZ2" s="20">
        <v>2283435</v>
      </c>
      <c r="BA2" s="20">
        <v>358350</v>
      </c>
      <c r="BB2" s="20">
        <v>175040</v>
      </c>
      <c r="BC2" s="20">
        <v>649570</v>
      </c>
      <c r="BD2" s="20">
        <v>2059395</v>
      </c>
      <c r="BE2" s="20">
        <v>135330</v>
      </c>
      <c r="BF2" s="20">
        <v>1335565</v>
      </c>
      <c r="BG2" s="20">
        <v>639760</v>
      </c>
    </row>
    <row r="3" spans="1:59">
      <c r="A3" s="16" t="s">
        <v>14</v>
      </c>
      <c r="B3" s="19">
        <v>3010</v>
      </c>
      <c r="C3" s="16">
        <v>365</v>
      </c>
      <c r="D3" s="19">
        <v>1405</v>
      </c>
      <c r="E3" s="19">
        <v>5735</v>
      </c>
      <c r="F3" s="19">
        <v>2725</v>
      </c>
      <c r="G3" s="19">
        <v>11250</v>
      </c>
      <c r="H3" s="19">
        <v>3115</v>
      </c>
      <c r="I3" s="19">
        <v>5570</v>
      </c>
      <c r="J3" s="19">
        <v>59675</v>
      </c>
      <c r="K3" s="19">
        <v>9930</v>
      </c>
      <c r="L3" s="19">
        <v>1075</v>
      </c>
      <c r="M3" s="19">
        <v>34685</v>
      </c>
      <c r="N3" s="19">
        <v>4580</v>
      </c>
      <c r="O3" s="16">
        <v>90</v>
      </c>
      <c r="P3" s="16">
        <v>895</v>
      </c>
      <c r="Q3" s="19">
        <v>2190</v>
      </c>
      <c r="R3" s="19">
        <v>1610</v>
      </c>
      <c r="S3" s="19">
        <v>11540</v>
      </c>
      <c r="T3" s="16">
        <v>475</v>
      </c>
      <c r="U3" s="19">
        <v>3305</v>
      </c>
      <c r="V3" s="19">
        <v>29920</v>
      </c>
      <c r="W3" s="16">
        <v>480</v>
      </c>
      <c r="X3" s="19">
        <v>16550</v>
      </c>
      <c r="Y3" s="19">
        <v>3400</v>
      </c>
      <c r="Z3" s="19">
        <v>183890</v>
      </c>
      <c r="AA3" s="19">
        <v>11330</v>
      </c>
      <c r="AB3" s="19">
        <v>3005</v>
      </c>
      <c r="AC3" s="19">
        <v>14765</v>
      </c>
      <c r="AD3" s="19">
        <v>3945</v>
      </c>
      <c r="AE3" s="16">
        <v>295</v>
      </c>
      <c r="AF3" s="19">
        <v>24185</v>
      </c>
      <c r="AG3" s="19">
        <v>3548085</v>
      </c>
      <c r="AH3" s="20">
        <v>4441485</v>
      </c>
      <c r="AI3" s="20">
        <v>2410</v>
      </c>
      <c r="AJ3" s="17">
        <v>665</v>
      </c>
      <c r="AK3" s="20">
        <v>2130</v>
      </c>
      <c r="AL3" s="20">
        <v>6485</v>
      </c>
      <c r="AM3" s="20">
        <v>3385</v>
      </c>
      <c r="AN3" s="20">
        <v>5885</v>
      </c>
      <c r="AO3" s="20">
        <v>1070</v>
      </c>
      <c r="AP3" s="20">
        <v>6720</v>
      </c>
      <c r="AQ3" s="17">
        <v>190</v>
      </c>
      <c r="AR3" s="20">
        <v>1010</v>
      </c>
      <c r="AS3" s="20">
        <v>4195</v>
      </c>
      <c r="AT3" s="17">
        <v>735</v>
      </c>
      <c r="AU3" s="20">
        <v>18040</v>
      </c>
      <c r="AV3" s="20">
        <v>11955</v>
      </c>
      <c r="AW3" s="20">
        <v>5070</v>
      </c>
      <c r="AX3" s="20">
        <v>46565</v>
      </c>
      <c r="AY3" s="20">
        <v>20125</v>
      </c>
      <c r="AZ3" s="20">
        <v>81375</v>
      </c>
      <c r="BA3" s="20">
        <v>15025</v>
      </c>
      <c r="BB3" s="20">
        <v>5955</v>
      </c>
      <c r="BC3" s="20">
        <v>41440</v>
      </c>
      <c r="BD3" s="20">
        <v>236875</v>
      </c>
      <c r="BE3" s="20">
        <v>9055</v>
      </c>
      <c r="BF3" s="20">
        <v>176625</v>
      </c>
      <c r="BG3" s="20">
        <v>197290</v>
      </c>
    </row>
    <row r="4" spans="1:59">
      <c r="A4" s="16" t="s">
        <v>7</v>
      </c>
      <c r="B4" s="16">
        <v>110</v>
      </c>
      <c r="C4" s="16">
        <v>25</v>
      </c>
      <c r="D4" s="16">
        <v>25</v>
      </c>
      <c r="E4" s="16">
        <v>355</v>
      </c>
      <c r="F4" s="16">
        <v>45</v>
      </c>
      <c r="G4" s="19">
        <v>1480</v>
      </c>
      <c r="H4" s="16">
        <v>180</v>
      </c>
      <c r="I4" s="16">
        <v>190</v>
      </c>
      <c r="J4" s="19">
        <v>6055</v>
      </c>
      <c r="K4" s="16">
        <v>250</v>
      </c>
      <c r="L4" s="16">
        <v>0</v>
      </c>
      <c r="M4" s="19">
        <v>1985</v>
      </c>
      <c r="N4" s="16">
        <v>150</v>
      </c>
      <c r="O4" s="16">
        <v>0</v>
      </c>
      <c r="P4" s="16">
        <v>55</v>
      </c>
      <c r="Q4" s="16">
        <v>85</v>
      </c>
      <c r="R4" s="16">
        <v>200</v>
      </c>
      <c r="S4" s="16">
        <v>330</v>
      </c>
      <c r="T4" s="16">
        <v>90</v>
      </c>
      <c r="U4" s="16">
        <v>240</v>
      </c>
      <c r="V4" s="19">
        <v>2100</v>
      </c>
      <c r="W4" s="16">
        <v>20</v>
      </c>
      <c r="X4" s="19">
        <v>1050</v>
      </c>
      <c r="Y4" s="16">
        <v>430</v>
      </c>
      <c r="Z4" s="19">
        <v>5480</v>
      </c>
      <c r="AA4" s="19">
        <v>1335</v>
      </c>
      <c r="AB4" s="16">
        <v>225</v>
      </c>
      <c r="AC4" s="19">
        <v>1485</v>
      </c>
      <c r="AD4" s="16">
        <v>350</v>
      </c>
      <c r="AE4" s="16">
        <v>0</v>
      </c>
      <c r="AF4" s="19">
        <v>1570</v>
      </c>
      <c r="AG4" s="19">
        <v>207365</v>
      </c>
    </row>
    <row r="5" spans="1:59">
      <c r="A5" s="16" t="s">
        <v>19</v>
      </c>
      <c r="B5" s="19">
        <f t="shared" ref="B5:AG5" si="0">SUM(B2:B4)</f>
        <v>14260</v>
      </c>
      <c r="C5" s="19">
        <f t="shared" si="0"/>
        <v>2070</v>
      </c>
      <c r="D5" s="19">
        <f t="shared" si="0"/>
        <v>7745</v>
      </c>
      <c r="E5" s="19">
        <f t="shared" si="0"/>
        <v>34660</v>
      </c>
      <c r="F5" s="19">
        <f t="shared" si="0"/>
        <v>8680</v>
      </c>
      <c r="G5" s="19">
        <f t="shared" si="0"/>
        <v>331755</v>
      </c>
      <c r="H5" s="19">
        <f t="shared" si="0"/>
        <v>35775</v>
      </c>
      <c r="I5" s="19">
        <f t="shared" si="0"/>
        <v>18095</v>
      </c>
      <c r="J5" s="19">
        <f t="shared" si="0"/>
        <v>2262995</v>
      </c>
      <c r="K5" s="19">
        <f t="shared" si="0"/>
        <v>65470</v>
      </c>
      <c r="L5" s="19">
        <f t="shared" si="0"/>
        <v>7305</v>
      </c>
      <c r="M5" s="19">
        <f t="shared" si="0"/>
        <v>531110</v>
      </c>
      <c r="N5" s="19">
        <f t="shared" si="0"/>
        <v>28575</v>
      </c>
      <c r="O5" s="19">
        <f t="shared" si="0"/>
        <v>820</v>
      </c>
      <c r="P5" s="19">
        <f t="shared" si="0"/>
        <v>3510</v>
      </c>
      <c r="Q5" s="19">
        <f t="shared" si="0"/>
        <v>15235</v>
      </c>
      <c r="R5" s="19">
        <f t="shared" si="0"/>
        <v>35565</v>
      </c>
      <c r="S5" s="19">
        <f t="shared" si="0"/>
        <v>46920</v>
      </c>
      <c r="T5" s="19">
        <f t="shared" si="0"/>
        <v>12380</v>
      </c>
      <c r="U5" s="19">
        <f t="shared" si="0"/>
        <v>68710</v>
      </c>
      <c r="V5" s="19">
        <f t="shared" si="0"/>
        <v>420010</v>
      </c>
      <c r="W5" s="19">
        <f t="shared" si="0"/>
        <v>2515</v>
      </c>
      <c r="X5" s="19">
        <f t="shared" si="0"/>
        <v>405410</v>
      </c>
      <c r="Y5" s="19">
        <f t="shared" si="0"/>
        <v>108435</v>
      </c>
      <c r="Z5" s="19">
        <f t="shared" si="0"/>
        <v>2029355</v>
      </c>
      <c r="AA5" s="19">
        <f t="shared" si="0"/>
        <v>392905</v>
      </c>
      <c r="AB5" s="19">
        <f t="shared" si="0"/>
        <v>69930</v>
      </c>
      <c r="AC5" s="19">
        <f t="shared" si="0"/>
        <v>405155</v>
      </c>
      <c r="AD5" s="19">
        <f t="shared" si="0"/>
        <v>159440</v>
      </c>
      <c r="AE5" s="19">
        <f t="shared" si="0"/>
        <v>6620</v>
      </c>
      <c r="AF5" s="19">
        <f t="shared" si="0"/>
        <v>655765</v>
      </c>
      <c r="AG5" s="19">
        <f t="shared" si="0"/>
        <v>52239590</v>
      </c>
      <c r="AH5" s="19">
        <f t="shared" ref="AH5:BM5" si="1">SUM(AH2:AH4)</f>
        <v>52327545</v>
      </c>
      <c r="AI5" s="19">
        <f t="shared" si="1"/>
        <v>13055</v>
      </c>
      <c r="AJ5" s="19">
        <f t="shared" si="1"/>
        <v>2460</v>
      </c>
      <c r="AK5" s="19">
        <f t="shared" si="1"/>
        <v>9490</v>
      </c>
      <c r="AL5" s="19">
        <f t="shared" si="1"/>
        <v>40010</v>
      </c>
      <c r="AM5" s="19">
        <f t="shared" si="1"/>
        <v>6935</v>
      </c>
      <c r="AN5" s="19">
        <f t="shared" si="1"/>
        <v>16570</v>
      </c>
      <c r="AO5" s="19">
        <f t="shared" si="1"/>
        <v>7350</v>
      </c>
      <c r="AP5" s="19">
        <f t="shared" si="1"/>
        <v>34465</v>
      </c>
      <c r="AQ5" s="19">
        <f t="shared" si="1"/>
        <v>1025</v>
      </c>
      <c r="AR5" s="19">
        <f t="shared" si="1"/>
        <v>3920</v>
      </c>
      <c r="AS5" s="19">
        <f t="shared" si="1"/>
        <v>19345</v>
      </c>
      <c r="AT5" s="19">
        <f t="shared" si="1"/>
        <v>3850</v>
      </c>
      <c r="AU5" s="19">
        <f t="shared" si="1"/>
        <v>62930</v>
      </c>
      <c r="AV5" s="19">
        <f t="shared" si="1"/>
        <v>87830</v>
      </c>
      <c r="AW5" s="19">
        <f t="shared" si="1"/>
        <v>127680</v>
      </c>
      <c r="AX5" s="19">
        <f t="shared" si="1"/>
        <v>979220</v>
      </c>
      <c r="AY5" s="19">
        <f t="shared" si="1"/>
        <v>394160</v>
      </c>
      <c r="AZ5" s="19">
        <f t="shared" si="1"/>
        <v>2364810</v>
      </c>
      <c r="BA5" s="19">
        <f t="shared" si="1"/>
        <v>373375</v>
      </c>
      <c r="BB5" s="19">
        <f t="shared" si="1"/>
        <v>180995</v>
      </c>
      <c r="BC5" s="19">
        <f t="shared" si="1"/>
        <v>691010</v>
      </c>
      <c r="BD5" s="19">
        <f t="shared" si="1"/>
        <v>2296270</v>
      </c>
      <c r="BE5" s="19">
        <f t="shared" si="1"/>
        <v>144385</v>
      </c>
      <c r="BF5" s="19">
        <f t="shared" si="1"/>
        <v>1512190</v>
      </c>
      <c r="BG5" s="19">
        <f t="shared" si="1"/>
        <v>837050</v>
      </c>
    </row>
    <row r="6" spans="1:59">
      <c r="A6" s="16" t="s">
        <v>15</v>
      </c>
      <c r="B6" s="16">
        <v>0</v>
      </c>
      <c r="C6" s="16">
        <v>0</v>
      </c>
      <c r="D6" s="16">
        <v>0</v>
      </c>
      <c r="E6" s="16">
        <v>120</v>
      </c>
      <c r="F6" s="16">
        <v>20</v>
      </c>
      <c r="G6" s="16">
        <v>715</v>
      </c>
      <c r="H6" s="16">
        <v>35</v>
      </c>
      <c r="I6" s="16">
        <v>20</v>
      </c>
      <c r="J6" s="19">
        <v>1780</v>
      </c>
      <c r="K6" s="16">
        <v>85</v>
      </c>
      <c r="L6" s="16">
        <v>40</v>
      </c>
      <c r="M6" s="16">
        <v>340</v>
      </c>
      <c r="N6" s="16">
        <v>65</v>
      </c>
      <c r="O6" s="16">
        <v>0</v>
      </c>
      <c r="P6" s="16">
        <v>0</v>
      </c>
      <c r="Q6" s="16">
        <v>0</v>
      </c>
      <c r="R6" s="16">
        <v>75</v>
      </c>
      <c r="S6" s="16">
        <v>90</v>
      </c>
      <c r="T6" s="16">
        <v>0</v>
      </c>
      <c r="U6" s="16">
        <v>10</v>
      </c>
      <c r="V6" s="16">
        <v>825</v>
      </c>
      <c r="W6" s="16">
        <v>0</v>
      </c>
      <c r="X6" s="16">
        <v>710</v>
      </c>
      <c r="Y6" s="16">
        <v>35</v>
      </c>
      <c r="Z6" s="19">
        <v>1930</v>
      </c>
      <c r="AA6" s="16">
        <v>305</v>
      </c>
      <c r="AB6" s="16">
        <v>165</v>
      </c>
      <c r="AC6" s="16">
        <v>645</v>
      </c>
      <c r="AD6" s="16">
        <v>185</v>
      </c>
      <c r="AE6" s="16">
        <v>4</v>
      </c>
      <c r="AF6" s="19">
        <v>1530</v>
      </c>
      <c r="AG6" s="19">
        <v>111180</v>
      </c>
      <c r="AH6" s="20">
        <v>129895</v>
      </c>
      <c r="AI6" s="17">
        <v>25</v>
      </c>
      <c r="AJ6" s="17">
        <v>0</v>
      </c>
      <c r="AK6" s="17">
        <v>0</v>
      </c>
      <c r="AL6" s="17">
        <v>65</v>
      </c>
      <c r="AM6" s="17">
        <v>30</v>
      </c>
      <c r="AN6" s="17">
        <v>4</v>
      </c>
      <c r="AO6" s="17">
        <v>15</v>
      </c>
      <c r="AP6" s="17">
        <v>70</v>
      </c>
      <c r="AQ6" s="17">
        <v>15</v>
      </c>
      <c r="AR6" s="17">
        <v>0</v>
      </c>
      <c r="AS6" s="17">
        <v>15</v>
      </c>
      <c r="AT6" s="17">
        <v>20</v>
      </c>
      <c r="AU6" s="17">
        <v>215</v>
      </c>
      <c r="AV6" s="17">
        <v>170</v>
      </c>
      <c r="AW6" s="17">
        <v>30</v>
      </c>
      <c r="AX6" s="20">
        <v>2040</v>
      </c>
      <c r="AY6" s="17">
        <v>675</v>
      </c>
      <c r="AZ6" s="20">
        <v>1990</v>
      </c>
      <c r="BA6" s="17">
        <v>380</v>
      </c>
      <c r="BB6" s="17">
        <v>230</v>
      </c>
      <c r="BC6" s="20">
        <v>1850</v>
      </c>
      <c r="BD6" s="20">
        <v>2625</v>
      </c>
      <c r="BE6" s="17">
        <v>25</v>
      </c>
      <c r="BF6" s="20">
        <v>8895</v>
      </c>
      <c r="BG6" s="20">
        <v>1100</v>
      </c>
    </row>
    <row r="7" spans="1:59">
      <c r="A7" s="16" t="s">
        <v>16</v>
      </c>
      <c r="B7" s="16">
        <v>25</v>
      </c>
      <c r="C7" s="16">
        <v>0</v>
      </c>
      <c r="D7" s="16">
        <v>25</v>
      </c>
      <c r="E7" s="16">
        <v>25</v>
      </c>
      <c r="F7" s="16">
        <v>30</v>
      </c>
      <c r="G7" s="19">
        <v>1550</v>
      </c>
      <c r="H7" s="16">
        <v>40</v>
      </c>
      <c r="I7" s="16">
        <v>0</v>
      </c>
      <c r="J7" s="19">
        <v>3305</v>
      </c>
      <c r="K7" s="16">
        <v>225</v>
      </c>
      <c r="L7" s="16">
        <v>70</v>
      </c>
      <c r="M7" s="19">
        <v>1320</v>
      </c>
      <c r="N7" s="16">
        <v>55</v>
      </c>
      <c r="O7" s="16">
        <v>0</v>
      </c>
      <c r="P7" s="16">
        <v>0</v>
      </c>
      <c r="Q7" s="16">
        <v>40</v>
      </c>
      <c r="R7" s="16">
        <v>160</v>
      </c>
      <c r="S7" s="16">
        <v>40</v>
      </c>
      <c r="T7" s="16">
        <v>45</v>
      </c>
      <c r="U7" s="16">
        <v>80</v>
      </c>
      <c r="V7" s="19">
        <v>1900</v>
      </c>
      <c r="W7" s="16">
        <v>0</v>
      </c>
      <c r="X7" s="19">
        <v>1455</v>
      </c>
      <c r="Y7" s="16">
        <v>245</v>
      </c>
      <c r="Z7" s="19">
        <v>2800</v>
      </c>
      <c r="AA7" s="16">
        <v>780</v>
      </c>
      <c r="AB7" s="16">
        <v>395</v>
      </c>
      <c r="AC7" s="19">
        <v>1945</v>
      </c>
      <c r="AD7" s="16">
        <v>310</v>
      </c>
      <c r="AE7" s="16">
        <v>0</v>
      </c>
      <c r="AF7" s="19">
        <v>1895</v>
      </c>
      <c r="AG7" s="19">
        <v>172975</v>
      </c>
      <c r="AH7" s="20">
        <v>1644630</v>
      </c>
      <c r="AI7" s="17">
        <v>525</v>
      </c>
      <c r="AJ7" s="17">
        <v>70</v>
      </c>
      <c r="AK7" s="17">
        <v>280</v>
      </c>
      <c r="AL7" s="20">
        <v>1250</v>
      </c>
      <c r="AM7" s="17">
        <v>145</v>
      </c>
      <c r="AN7" s="17">
        <v>395</v>
      </c>
      <c r="AO7" s="17">
        <v>185</v>
      </c>
      <c r="AP7" s="20">
        <v>1065</v>
      </c>
      <c r="AQ7" s="17">
        <v>25</v>
      </c>
      <c r="AR7" s="17">
        <v>70</v>
      </c>
      <c r="AS7" s="17">
        <v>595</v>
      </c>
      <c r="AT7" s="17">
        <v>105</v>
      </c>
      <c r="AU7" s="20">
        <v>1805</v>
      </c>
      <c r="AV7" s="20">
        <v>2655</v>
      </c>
      <c r="AW7" s="20">
        <v>3035</v>
      </c>
      <c r="AX7" s="20">
        <v>33660</v>
      </c>
      <c r="AY7" s="20">
        <v>10815</v>
      </c>
      <c r="AZ7" s="20">
        <v>45910</v>
      </c>
      <c r="BA7" s="20">
        <v>8300</v>
      </c>
      <c r="BB7" s="20">
        <v>4235</v>
      </c>
      <c r="BC7" s="20">
        <v>20555</v>
      </c>
      <c r="BD7" s="20">
        <v>48990</v>
      </c>
      <c r="BE7" s="20">
        <v>2400</v>
      </c>
      <c r="BF7" s="20">
        <v>72875</v>
      </c>
      <c r="BG7" s="20">
        <v>20890</v>
      </c>
    </row>
    <row r="8" spans="1:59">
      <c r="A8" s="16" t="s">
        <v>17</v>
      </c>
      <c r="B8" s="16">
        <v>35</v>
      </c>
      <c r="C8" s="16">
        <v>0</v>
      </c>
      <c r="D8" s="16">
        <v>15</v>
      </c>
      <c r="E8" s="16">
        <v>260</v>
      </c>
      <c r="F8" s="16">
        <v>10</v>
      </c>
      <c r="G8" s="19">
        <v>2255</v>
      </c>
      <c r="H8" s="16">
        <v>280</v>
      </c>
      <c r="I8" s="16">
        <v>40</v>
      </c>
      <c r="J8" s="19">
        <v>8555</v>
      </c>
      <c r="K8" s="16">
        <v>420</v>
      </c>
      <c r="L8" s="16">
        <v>10</v>
      </c>
      <c r="M8" s="19">
        <v>3000</v>
      </c>
      <c r="N8" s="16">
        <v>140</v>
      </c>
      <c r="O8" s="16">
        <v>0</v>
      </c>
      <c r="P8" s="16">
        <v>15</v>
      </c>
      <c r="Q8" s="16">
        <v>60</v>
      </c>
      <c r="R8" s="16">
        <v>340</v>
      </c>
      <c r="S8" s="16">
        <v>250</v>
      </c>
      <c r="T8" s="16">
        <v>15</v>
      </c>
      <c r="U8" s="16">
        <v>280</v>
      </c>
      <c r="V8" s="19">
        <v>2500</v>
      </c>
      <c r="W8" s="16">
        <v>10</v>
      </c>
      <c r="X8" s="19">
        <v>1975</v>
      </c>
      <c r="Y8" s="16">
        <v>500</v>
      </c>
      <c r="Z8" s="19">
        <v>8045</v>
      </c>
      <c r="AA8" s="19">
        <v>1955</v>
      </c>
      <c r="AB8" s="16">
        <v>430</v>
      </c>
      <c r="AC8" s="19">
        <v>2660</v>
      </c>
      <c r="AD8" s="19">
        <v>1095</v>
      </c>
      <c r="AE8" s="16">
        <v>50</v>
      </c>
      <c r="AF8" s="19">
        <v>3945</v>
      </c>
      <c r="AG8" s="19">
        <v>304170</v>
      </c>
    </row>
    <row r="9" spans="1:59">
      <c r="A9" s="16" t="s">
        <v>18</v>
      </c>
      <c r="B9" s="16">
        <v>85</v>
      </c>
      <c r="C9" s="16">
        <v>0</v>
      </c>
      <c r="D9" s="16">
        <v>0</v>
      </c>
      <c r="E9" s="16">
        <v>4</v>
      </c>
      <c r="F9" s="16">
        <v>20</v>
      </c>
      <c r="G9" s="16">
        <v>540</v>
      </c>
      <c r="H9" s="16">
        <v>15</v>
      </c>
      <c r="I9" s="16">
        <v>65</v>
      </c>
      <c r="J9" s="19">
        <v>2155</v>
      </c>
      <c r="K9" s="16">
        <v>190</v>
      </c>
      <c r="L9" s="16">
        <v>0</v>
      </c>
      <c r="M9" s="16">
        <v>325</v>
      </c>
      <c r="N9" s="16">
        <v>0</v>
      </c>
      <c r="O9" s="16">
        <v>0</v>
      </c>
      <c r="P9" s="16">
        <v>0</v>
      </c>
      <c r="Q9" s="16">
        <v>30</v>
      </c>
      <c r="R9" s="16">
        <v>80</v>
      </c>
      <c r="S9" s="16">
        <v>4</v>
      </c>
      <c r="T9" s="16">
        <v>0</v>
      </c>
      <c r="U9" s="16">
        <v>35</v>
      </c>
      <c r="V9" s="16">
        <v>615</v>
      </c>
      <c r="W9" s="16">
        <v>0</v>
      </c>
      <c r="X9" s="16">
        <v>455</v>
      </c>
      <c r="Y9" s="16">
        <v>25</v>
      </c>
      <c r="Z9" s="19">
        <v>1305</v>
      </c>
      <c r="AA9" s="16">
        <v>310</v>
      </c>
      <c r="AB9" s="16">
        <v>235</v>
      </c>
      <c r="AC9" s="19">
        <v>1240</v>
      </c>
      <c r="AD9" s="16">
        <v>150</v>
      </c>
      <c r="AE9" s="16">
        <v>0</v>
      </c>
      <c r="AF9" s="16">
        <v>825</v>
      </c>
      <c r="AG9" s="19">
        <v>64820</v>
      </c>
    </row>
    <row r="10" spans="1:59">
      <c r="A10" s="16" t="s">
        <v>12</v>
      </c>
      <c r="B10" s="16">
        <v>840</v>
      </c>
      <c r="C10" s="16">
        <v>40</v>
      </c>
      <c r="D10" s="16">
        <v>735</v>
      </c>
      <c r="E10" s="19">
        <v>2330</v>
      </c>
      <c r="F10" s="16">
        <v>845</v>
      </c>
      <c r="G10" s="19">
        <v>87735</v>
      </c>
      <c r="H10" s="19">
        <v>1820</v>
      </c>
      <c r="I10" s="19">
        <v>1970</v>
      </c>
      <c r="J10" s="19">
        <v>239930</v>
      </c>
      <c r="K10" s="19">
        <v>9650</v>
      </c>
      <c r="L10" s="16">
        <v>565</v>
      </c>
      <c r="M10" s="19">
        <v>79830</v>
      </c>
      <c r="N10" s="19">
        <v>2300</v>
      </c>
      <c r="O10" s="16">
        <v>80</v>
      </c>
      <c r="P10" s="16">
        <v>165</v>
      </c>
      <c r="Q10" s="19">
        <v>1010</v>
      </c>
      <c r="R10" s="19">
        <v>10740</v>
      </c>
      <c r="S10" s="19">
        <v>4070</v>
      </c>
      <c r="T10" s="16">
        <v>485</v>
      </c>
      <c r="U10" s="19">
        <v>3615</v>
      </c>
      <c r="V10" s="19">
        <v>57815</v>
      </c>
      <c r="W10" s="16">
        <v>165</v>
      </c>
      <c r="X10" s="19">
        <v>91940</v>
      </c>
      <c r="Y10" s="19">
        <v>5975</v>
      </c>
      <c r="Z10" s="19">
        <v>239360</v>
      </c>
      <c r="AA10" s="19">
        <v>38665</v>
      </c>
      <c r="AB10" s="19">
        <v>27590</v>
      </c>
      <c r="AC10" s="19">
        <v>132520</v>
      </c>
      <c r="AD10" s="19">
        <v>18250</v>
      </c>
      <c r="AE10" s="16">
        <v>520</v>
      </c>
      <c r="AF10" s="19">
        <v>129715</v>
      </c>
      <c r="AG10" s="19">
        <v>9419090</v>
      </c>
      <c r="AH10" s="20">
        <v>10248540</v>
      </c>
      <c r="AI10" s="20">
        <v>1185</v>
      </c>
      <c r="AJ10" s="17">
        <v>170</v>
      </c>
      <c r="AK10" s="17">
        <v>590</v>
      </c>
      <c r="AL10" s="20">
        <v>2790</v>
      </c>
      <c r="AM10" s="17">
        <v>635</v>
      </c>
      <c r="AN10" s="20">
        <v>1710</v>
      </c>
      <c r="AO10" s="17">
        <v>675</v>
      </c>
      <c r="AP10" s="20">
        <v>3515</v>
      </c>
      <c r="AQ10" s="17">
        <v>220</v>
      </c>
      <c r="AR10" s="17">
        <v>350</v>
      </c>
      <c r="AS10" s="20">
        <v>1190</v>
      </c>
      <c r="AT10" s="17">
        <v>290</v>
      </c>
      <c r="AU10" s="20">
        <v>4775</v>
      </c>
      <c r="AV10" s="20">
        <v>12005</v>
      </c>
      <c r="AW10" s="20">
        <v>8360</v>
      </c>
      <c r="AX10" s="20">
        <v>304470</v>
      </c>
      <c r="AY10" s="20">
        <v>98635</v>
      </c>
      <c r="AZ10" s="20">
        <v>259915</v>
      </c>
      <c r="BA10" s="20">
        <v>34450</v>
      </c>
      <c r="BB10" s="20">
        <v>20730</v>
      </c>
      <c r="BC10" s="20">
        <v>134750</v>
      </c>
      <c r="BD10" s="20">
        <v>319390</v>
      </c>
      <c r="BE10" s="20">
        <v>11700</v>
      </c>
      <c r="BF10" s="20">
        <v>937290</v>
      </c>
      <c r="BG10" s="20">
        <v>108575</v>
      </c>
    </row>
    <row r="11" spans="1:59">
      <c r="A11" s="16" t="s">
        <v>10</v>
      </c>
      <c r="B11" s="16">
        <v>315</v>
      </c>
      <c r="C11" s="16">
        <v>105</v>
      </c>
      <c r="D11" s="16">
        <v>315</v>
      </c>
      <c r="E11" s="19">
        <v>1080</v>
      </c>
      <c r="F11" s="16">
        <v>225</v>
      </c>
      <c r="G11" s="19">
        <v>17720</v>
      </c>
      <c r="H11" s="19">
        <v>1280</v>
      </c>
      <c r="I11" s="16">
        <v>585</v>
      </c>
      <c r="J11" s="19">
        <v>64775</v>
      </c>
      <c r="K11" s="19">
        <v>3500</v>
      </c>
      <c r="L11" s="16">
        <v>165</v>
      </c>
      <c r="M11" s="19">
        <v>38380</v>
      </c>
      <c r="N11" s="16">
        <v>940</v>
      </c>
      <c r="O11" s="16">
        <v>0</v>
      </c>
      <c r="P11" s="16">
        <v>105</v>
      </c>
      <c r="Q11" s="16">
        <v>430</v>
      </c>
      <c r="R11" s="19">
        <v>3070</v>
      </c>
      <c r="S11" s="19">
        <v>1095</v>
      </c>
      <c r="T11" s="16">
        <v>170</v>
      </c>
      <c r="U11" s="16">
        <v>675</v>
      </c>
      <c r="V11" s="19">
        <v>18710</v>
      </c>
      <c r="W11" s="16">
        <v>110</v>
      </c>
      <c r="X11" s="19">
        <v>25780</v>
      </c>
      <c r="Y11" s="19">
        <v>2055</v>
      </c>
      <c r="Z11" s="19">
        <v>35175</v>
      </c>
      <c r="AA11" s="19">
        <v>12790</v>
      </c>
      <c r="AB11" s="19">
        <v>7825</v>
      </c>
      <c r="AC11" s="19">
        <v>28400</v>
      </c>
      <c r="AD11" s="19">
        <v>4615</v>
      </c>
      <c r="AE11" s="16">
        <v>250</v>
      </c>
      <c r="AF11" s="19">
        <v>62580</v>
      </c>
      <c r="AG11" s="19">
        <v>3899080</v>
      </c>
      <c r="AH11" s="20">
        <v>12091655</v>
      </c>
      <c r="AI11" s="20">
        <v>1440</v>
      </c>
      <c r="AJ11" s="17">
        <v>215</v>
      </c>
      <c r="AK11" s="20">
        <v>1035</v>
      </c>
      <c r="AL11" s="20">
        <v>4770</v>
      </c>
      <c r="AM11" s="17">
        <v>565</v>
      </c>
      <c r="AN11" s="20">
        <v>1910</v>
      </c>
      <c r="AO11" s="17">
        <v>670</v>
      </c>
      <c r="AP11" s="20">
        <v>3930</v>
      </c>
      <c r="AQ11" s="17">
        <v>140</v>
      </c>
      <c r="AR11" s="17">
        <v>370</v>
      </c>
      <c r="AS11" s="20">
        <v>1705</v>
      </c>
      <c r="AT11" s="17">
        <v>490</v>
      </c>
      <c r="AU11" s="20">
        <v>5875</v>
      </c>
      <c r="AV11" s="20">
        <v>13695</v>
      </c>
      <c r="AW11" s="20">
        <v>12065</v>
      </c>
      <c r="AX11" s="20">
        <v>208015</v>
      </c>
      <c r="AY11" s="20">
        <v>84855</v>
      </c>
      <c r="AZ11" s="20">
        <v>277620</v>
      </c>
      <c r="BA11" s="20">
        <v>40985</v>
      </c>
      <c r="BB11" s="20">
        <v>22045</v>
      </c>
      <c r="BC11" s="20">
        <v>180600</v>
      </c>
      <c r="BD11" s="20">
        <v>187060</v>
      </c>
      <c r="BE11" s="20">
        <v>7210</v>
      </c>
      <c r="BF11" s="20">
        <v>552280</v>
      </c>
      <c r="BG11" s="20">
        <v>160550</v>
      </c>
    </row>
    <row r="12" spans="1:59">
      <c r="A12" s="16" t="s">
        <v>13</v>
      </c>
      <c r="B12" s="16">
        <v>75</v>
      </c>
      <c r="C12" s="16">
        <v>0</v>
      </c>
      <c r="D12" s="16">
        <v>4</v>
      </c>
      <c r="E12" s="16">
        <v>135</v>
      </c>
      <c r="F12" s="16">
        <v>45</v>
      </c>
      <c r="G12" s="19">
        <v>3820</v>
      </c>
      <c r="H12" s="16">
        <v>225</v>
      </c>
      <c r="I12" s="16">
        <v>85</v>
      </c>
      <c r="J12" s="19">
        <v>10345</v>
      </c>
      <c r="K12" s="16">
        <v>440</v>
      </c>
      <c r="L12" s="16">
        <v>45</v>
      </c>
      <c r="M12" s="19">
        <v>2705</v>
      </c>
      <c r="N12" s="16">
        <v>35</v>
      </c>
      <c r="O12" s="16">
        <v>0</v>
      </c>
      <c r="P12" s="16">
        <v>20</v>
      </c>
      <c r="Q12" s="16">
        <v>35</v>
      </c>
      <c r="R12" s="16">
        <v>900</v>
      </c>
      <c r="S12" s="16">
        <v>210</v>
      </c>
      <c r="T12" s="16">
        <v>0</v>
      </c>
      <c r="U12" s="16">
        <v>65</v>
      </c>
      <c r="V12" s="19">
        <v>3315</v>
      </c>
      <c r="W12" s="16">
        <v>30</v>
      </c>
      <c r="X12" s="19">
        <v>4365</v>
      </c>
      <c r="Y12" s="16">
        <v>320</v>
      </c>
      <c r="Z12" s="19">
        <v>9280</v>
      </c>
      <c r="AA12" s="19">
        <v>2100</v>
      </c>
      <c r="AB12" s="19">
        <v>1640</v>
      </c>
      <c r="AC12" s="19">
        <v>4830</v>
      </c>
      <c r="AD12" s="19">
        <v>1160</v>
      </c>
      <c r="AE12" s="16">
        <v>185</v>
      </c>
      <c r="AF12" s="19">
        <v>8205</v>
      </c>
      <c r="AG12" s="19">
        <v>445405</v>
      </c>
      <c r="AH12" s="20">
        <v>454585</v>
      </c>
      <c r="AI12" s="17">
        <v>100</v>
      </c>
      <c r="AJ12" s="17">
        <v>10</v>
      </c>
      <c r="AK12" s="17">
        <v>0</v>
      </c>
      <c r="AL12" s="17">
        <v>195</v>
      </c>
      <c r="AM12" s="17">
        <v>4</v>
      </c>
      <c r="AN12" s="17">
        <v>50</v>
      </c>
      <c r="AO12" s="17">
        <v>45</v>
      </c>
      <c r="AP12" s="17">
        <v>115</v>
      </c>
      <c r="AQ12" s="17">
        <v>0</v>
      </c>
      <c r="AR12" s="17">
        <v>25</v>
      </c>
      <c r="AS12" s="17">
        <v>45</v>
      </c>
      <c r="AT12" s="17">
        <v>0</v>
      </c>
      <c r="AU12" s="17">
        <v>260</v>
      </c>
      <c r="AV12" s="17">
        <v>705</v>
      </c>
      <c r="AW12" s="17">
        <v>170</v>
      </c>
      <c r="AX12" s="20">
        <v>13175</v>
      </c>
      <c r="AY12" s="20">
        <v>3780</v>
      </c>
      <c r="AZ12" s="20">
        <v>11565</v>
      </c>
      <c r="BA12" s="20">
        <v>1900</v>
      </c>
      <c r="BB12" s="20">
        <v>1090</v>
      </c>
      <c r="BC12" s="20">
        <v>7795</v>
      </c>
      <c r="BD12" s="20">
        <v>10910</v>
      </c>
      <c r="BE12" s="17">
        <v>340</v>
      </c>
      <c r="BF12" s="20">
        <v>26945</v>
      </c>
      <c r="BG12" s="20">
        <v>4285</v>
      </c>
    </row>
    <row r="13" spans="1:59">
      <c r="A13" s="16" t="s">
        <v>6</v>
      </c>
      <c r="B13" s="18">
        <f t="shared" ref="B13:AG13" si="2">SUM(B6:B12)</f>
        <v>1375</v>
      </c>
      <c r="C13" s="18">
        <f t="shared" si="2"/>
        <v>145</v>
      </c>
      <c r="D13" s="18">
        <f t="shared" si="2"/>
        <v>1094</v>
      </c>
      <c r="E13" s="18">
        <f t="shared" si="2"/>
        <v>3954</v>
      </c>
      <c r="F13" s="18">
        <f t="shared" si="2"/>
        <v>1195</v>
      </c>
      <c r="G13" s="18">
        <f t="shared" si="2"/>
        <v>114335</v>
      </c>
      <c r="H13" s="18">
        <f t="shared" si="2"/>
        <v>3695</v>
      </c>
      <c r="I13" s="18">
        <f t="shared" si="2"/>
        <v>2765</v>
      </c>
      <c r="J13" s="18">
        <f t="shared" si="2"/>
        <v>330845</v>
      </c>
      <c r="K13" s="18">
        <f t="shared" si="2"/>
        <v>14510</v>
      </c>
      <c r="L13" s="18">
        <f t="shared" si="2"/>
        <v>895</v>
      </c>
      <c r="M13" s="18">
        <f t="shared" si="2"/>
        <v>125900</v>
      </c>
      <c r="N13" s="18">
        <f t="shared" si="2"/>
        <v>3535</v>
      </c>
      <c r="O13" s="18">
        <f t="shared" si="2"/>
        <v>80</v>
      </c>
      <c r="P13" s="18">
        <f t="shared" si="2"/>
        <v>305</v>
      </c>
      <c r="Q13" s="18">
        <f t="shared" si="2"/>
        <v>1605</v>
      </c>
      <c r="R13" s="18">
        <f t="shared" si="2"/>
        <v>15365</v>
      </c>
      <c r="S13" s="18">
        <f t="shared" si="2"/>
        <v>5759</v>
      </c>
      <c r="T13" s="18">
        <f t="shared" si="2"/>
        <v>715</v>
      </c>
      <c r="U13" s="18">
        <f t="shared" si="2"/>
        <v>4760</v>
      </c>
      <c r="V13" s="18">
        <f t="shared" si="2"/>
        <v>85680</v>
      </c>
      <c r="W13" s="18">
        <f t="shared" si="2"/>
        <v>315</v>
      </c>
      <c r="X13" s="18">
        <f t="shared" si="2"/>
        <v>126680</v>
      </c>
      <c r="Y13" s="18">
        <f t="shared" si="2"/>
        <v>9155</v>
      </c>
      <c r="Z13" s="18">
        <f t="shared" si="2"/>
        <v>297895</v>
      </c>
      <c r="AA13" s="18">
        <f t="shared" si="2"/>
        <v>56905</v>
      </c>
      <c r="AB13" s="18">
        <f t="shared" si="2"/>
        <v>38280</v>
      </c>
      <c r="AC13" s="18">
        <f t="shared" si="2"/>
        <v>172240</v>
      </c>
      <c r="AD13" s="18">
        <f t="shared" si="2"/>
        <v>25765</v>
      </c>
      <c r="AE13" s="18">
        <f t="shared" si="2"/>
        <v>1009</v>
      </c>
      <c r="AF13" s="18">
        <f t="shared" si="2"/>
        <v>208695</v>
      </c>
      <c r="AG13" s="18">
        <f t="shared" si="2"/>
        <v>14416720</v>
      </c>
      <c r="AH13" s="18">
        <f t="shared" ref="AH13:BM13" si="3">SUM(AH6:AH12)</f>
        <v>24569305</v>
      </c>
      <c r="AI13" s="18">
        <f t="shared" si="3"/>
        <v>3275</v>
      </c>
      <c r="AJ13" s="18">
        <f t="shared" si="3"/>
        <v>465</v>
      </c>
      <c r="AK13" s="18">
        <f t="shared" si="3"/>
        <v>1905</v>
      </c>
      <c r="AL13" s="18">
        <f t="shared" si="3"/>
        <v>9070</v>
      </c>
      <c r="AM13" s="18">
        <f t="shared" si="3"/>
        <v>1379</v>
      </c>
      <c r="AN13" s="18">
        <f t="shared" si="3"/>
        <v>4069</v>
      </c>
      <c r="AO13" s="18">
        <f t="shared" si="3"/>
        <v>1590</v>
      </c>
      <c r="AP13" s="18">
        <f t="shared" si="3"/>
        <v>8695</v>
      </c>
      <c r="AQ13" s="18">
        <f t="shared" si="3"/>
        <v>400</v>
      </c>
      <c r="AR13" s="18">
        <f t="shared" si="3"/>
        <v>815</v>
      </c>
      <c r="AS13" s="18">
        <f t="shared" si="3"/>
        <v>3550</v>
      </c>
      <c r="AT13" s="18">
        <f t="shared" si="3"/>
        <v>905</v>
      </c>
      <c r="AU13" s="18">
        <f t="shared" si="3"/>
        <v>12930</v>
      </c>
      <c r="AV13" s="18">
        <f t="shared" si="3"/>
        <v>29230</v>
      </c>
      <c r="AW13" s="18">
        <f t="shared" si="3"/>
        <v>23660</v>
      </c>
      <c r="AX13" s="18">
        <f t="shared" si="3"/>
        <v>561360</v>
      </c>
      <c r="AY13" s="18">
        <f t="shared" si="3"/>
        <v>198760</v>
      </c>
      <c r="AZ13" s="18">
        <f t="shared" si="3"/>
        <v>597000</v>
      </c>
      <c r="BA13" s="18">
        <f t="shared" si="3"/>
        <v>86015</v>
      </c>
      <c r="BB13" s="18">
        <f t="shared" si="3"/>
        <v>48330</v>
      </c>
      <c r="BC13" s="18">
        <f t="shared" si="3"/>
        <v>345550</v>
      </c>
      <c r="BD13" s="18">
        <f t="shared" si="3"/>
        <v>568975</v>
      </c>
      <c r="BE13" s="18">
        <f t="shared" si="3"/>
        <v>21675</v>
      </c>
      <c r="BF13" s="18">
        <f t="shared" si="3"/>
        <v>1598285</v>
      </c>
      <c r="BG13" s="18">
        <f t="shared" si="3"/>
        <v>295400</v>
      </c>
    </row>
    <row r="14" spans="1:59">
      <c r="A14" s="16" t="s">
        <v>20</v>
      </c>
      <c r="B14" s="21">
        <f t="shared" ref="B14:AG14" si="4">B13+B3</f>
        <v>4385</v>
      </c>
      <c r="C14" s="21">
        <f t="shared" si="4"/>
        <v>510</v>
      </c>
      <c r="D14" s="21">
        <f t="shared" si="4"/>
        <v>2499</v>
      </c>
      <c r="E14" s="21">
        <f t="shared" si="4"/>
        <v>9689</v>
      </c>
      <c r="F14" s="21">
        <f t="shared" si="4"/>
        <v>3920</v>
      </c>
      <c r="G14" s="21">
        <f t="shared" si="4"/>
        <v>125585</v>
      </c>
      <c r="H14" s="21">
        <f t="shared" si="4"/>
        <v>6810</v>
      </c>
      <c r="I14" s="21">
        <f t="shared" si="4"/>
        <v>8335</v>
      </c>
      <c r="J14" s="21">
        <f t="shared" si="4"/>
        <v>390520</v>
      </c>
      <c r="K14" s="21">
        <f t="shared" si="4"/>
        <v>24440</v>
      </c>
      <c r="L14" s="21">
        <f t="shared" si="4"/>
        <v>1970</v>
      </c>
      <c r="M14" s="21">
        <f t="shared" si="4"/>
        <v>160585</v>
      </c>
      <c r="N14" s="21">
        <f t="shared" si="4"/>
        <v>8115</v>
      </c>
      <c r="O14" s="21">
        <f t="shared" si="4"/>
        <v>170</v>
      </c>
      <c r="P14" s="21">
        <f t="shared" si="4"/>
        <v>1200</v>
      </c>
      <c r="Q14" s="21">
        <f t="shared" si="4"/>
        <v>3795</v>
      </c>
      <c r="R14" s="21">
        <f t="shared" si="4"/>
        <v>16975</v>
      </c>
      <c r="S14" s="21">
        <f t="shared" si="4"/>
        <v>17299</v>
      </c>
      <c r="T14" s="21">
        <f t="shared" si="4"/>
        <v>1190</v>
      </c>
      <c r="U14" s="21">
        <f t="shared" si="4"/>
        <v>8065</v>
      </c>
      <c r="V14" s="21">
        <f t="shared" si="4"/>
        <v>115600</v>
      </c>
      <c r="W14" s="21">
        <f t="shared" si="4"/>
        <v>795</v>
      </c>
      <c r="X14" s="21">
        <f t="shared" si="4"/>
        <v>143230</v>
      </c>
      <c r="Y14" s="21">
        <f t="shared" si="4"/>
        <v>12555</v>
      </c>
      <c r="Z14" s="21">
        <f t="shared" si="4"/>
        <v>481785</v>
      </c>
      <c r="AA14" s="21">
        <f t="shared" si="4"/>
        <v>68235</v>
      </c>
      <c r="AB14" s="21">
        <f t="shared" si="4"/>
        <v>41285</v>
      </c>
      <c r="AC14" s="21">
        <f t="shared" si="4"/>
        <v>187005</v>
      </c>
      <c r="AD14" s="21">
        <f t="shared" si="4"/>
        <v>29710</v>
      </c>
      <c r="AE14" s="21">
        <f t="shared" si="4"/>
        <v>1304</v>
      </c>
      <c r="AF14" s="21">
        <f t="shared" si="4"/>
        <v>232880</v>
      </c>
      <c r="AG14" s="21">
        <f t="shared" si="4"/>
        <v>17964805</v>
      </c>
      <c r="AH14" s="21">
        <f t="shared" ref="AH14:BM14" si="5">AH13+AH3</f>
        <v>29010790</v>
      </c>
      <c r="AI14" s="21">
        <f t="shared" si="5"/>
        <v>5685</v>
      </c>
      <c r="AJ14" s="21">
        <f t="shared" si="5"/>
        <v>1130</v>
      </c>
      <c r="AK14" s="21">
        <f t="shared" si="5"/>
        <v>4035</v>
      </c>
      <c r="AL14" s="21">
        <f t="shared" si="5"/>
        <v>15555</v>
      </c>
      <c r="AM14" s="21">
        <f t="shared" si="5"/>
        <v>4764</v>
      </c>
      <c r="AN14" s="21">
        <f t="shared" si="5"/>
        <v>9954</v>
      </c>
      <c r="AO14" s="21">
        <f t="shared" si="5"/>
        <v>2660</v>
      </c>
      <c r="AP14" s="21">
        <f t="shared" si="5"/>
        <v>15415</v>
      </c>
      <c r="AQ14" s="21">
        <f t="shared" si="5"/>
        <v>590</v>
      </c>
      <c r="AR14" s="21">
        <f t="shared" si="5"/>
        <v>1825</v>
      </c>
      <c r="AS14" s="21">
        <f t="shared" si="5"/>
        <v>7745</v>
      </c>
      <c r="AT14" s="21">
        <f t="shared" si="5"/>
        <v>1640</v>
      </c>
      <c r="AU14" s="21">
        <f t="shared" si="5"/>
        <v>30970</v>
      </c>
      <c r="AV14" s="21">
        <f t="shared" si="5"/>
        <v>41185</v>
      </c>
      <c r="AW14" s="21">
        <f t="shared" si="5"/>
        <v>28730</v>
      </c>
      <c r="AX14" s="21">
        <f t="shared" si="5"/>
        <v>607925</v>
      </c>
      <c r="AY14" s="21">
        <f t="shared" si="5"/>
        <v>218885</v>
      </c>
      <c r="AZ14" s="21">
        <f t="shared" si="5"/>
        <v>678375</v>
      </c>
      <c r="BA14" s="21">
        <f t="shared" si="5"/>
        <v>101040</v>
      </c>
      <c r="BB14" s="21">
        <f t="shared" si="5"/>
        <v>54285</v>
      </c>
      <c r="BC14" s="21">
        <f t="shared" si="5"/>
        <v>386990</v>
      </c>
      <c r="BD14" s="21">
        <f t="shared" si="5"/>
        <v>805850</v>
      </c>
      <c r="BE14" s="21">
        <f t="shared" si="5"/>
        <v>30730</v>
      </c>
      <c r="BF14" s="21">
        <f t="shared" si="5"/>
        <v>1774910</v>
      </c>
      <c r="BG14" s="21">
        <f t="shared" si="5"/>
        <v>492690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0EE6-C816-4D45-B09D-ECC123C803C0}">
  <dimension ref="A1:C113"/>
  <sheetViews>
    <sheetView workbookViewId="0">
      <selection activeCell="F10" sqref="F10"/>
    </sheetView>
  </sheetViews>
  <sheetFormatPr defaultColWidth="17" defaultRowHeight="15"/>
  <sheetData>
    <row r="1" spans="1:3">
      <c r="A1" s="10" t="s">
        <v>8</v>
      </c>
      <c r="B1" s="11" t="s">
        <v>0</v>
      </c>
      <c r="C1" s="11" t="s">
        <v>9</v>
      </c>
    </row>
    <row r="2" spans="1:3">
      <c r="A2" s="8" t="s">
        <v>1</v>
      </c>
      <c r="B2" s="8" t="s">
        <v>7</v>
      </c>
      <c r="C2" s="9">
        <v>14260</v>
      </c>
    </row>
    <row r="3" spans="1:3">
      <c r="A3" s="1" t="s">
        <v>1</v>
      </c>
      <c r="B3" s="1" t="s">
        <v>7</v>
      </c>
      <c r="C3" s="5">
        <v>2070</v>
      </c>
    </row>
    <row r="4" spans="1:3">
      <c r="A4" s="1" t="s">
        <v>1</v>
      </c>
      <c r="B4" s="1" t="s">
        <v>7</v>
      </c>
      <c r="C4" s="5">
        <v>7745</v>
      </c>
    </row>
    <row r="5" spans="1:3">
      <c r="A5" s="1" t="s">
        <v>1</v>
      </c>
      <c r="B5" s="1" t="s">
        <v>7</v>
      </c>
      <c r="C5" s="6">
        <v>34660</v>
      </c>
    </row>
    <row r="6" spans="1:3">
      <c r="A6" s="1" t="s">
        <v>1</v>
      </c>
      <c r="B6" s="1" t="s">
        <v>7</v>
      </c>
      <c r="C6" s="5">
        <v>8680</v>
      </c>
    </row>
    <row r="7" spans="1:3">
      <c r="A7" s="1" t="s">
        <v>2</v>
      </c>
      <c r="B7" s="1" t="s">
        <v>7</v>
      </c>
      <c r="C7" s="6">
        <v>331755</v>
      </c>
    </row>
    <row r="8" spans="1:3">
      <c r="A8" s="1" t="s">
        <v>1</v>
      </c>
      <c r="B8" s="1" t="s">
        <v>7</v>
      </c>
      <c r="C8" s="6">
        <v>35775</v>
      </c>
    </row>
    <row r="9" spans="1:3">
      <c r="A9" s="1" t="s">
        <v>1</v>
      </c>
      <c r="B9" s="1" t="s">
        <v>7</v>
      </c>
      <c r="C9" s="6">
        <v>18095</v>
      </c>
    </row>
    <row r="10" spans="1:3">
      <c r="A10" s="1" t="s">
        <v>4</v>
      </c>
      <c r="B10" s="1" t="s">
        <v>7</v>
      </c>
      <c r="C10" s="6">
        <v>2262995</v>
      </c>
    </row>
    <row r="11" spans="1:3">
      <c r="A11" s="1" t="s">
        <v>1</v>
      </c>
      <c r="B11" s="1" t="s">
        <v>7</v>
      </c>
      <c r="C11" s="6">
        <v>65470</v>
      </c>
    </row>
    <row r="12" spans="1:3">
      <c r="A12" s="1" t="s">
        <v>1</v>
      </c>
      <c r="B12" s="1" t="s">
        <v>7</v>
      </c>
      <c r="C12" s="5">
        <v>7305</v>
      </c>
    </row>
    <row r="13" spans="1:3">
      <c r="A13" s="1" t="s">
        <v>5</v>
      </c>
      <c r="B13" s="1" t="s">
        <v>7</v>
      </c>
      <c r="C13" s="6">
        <v>531110</v>
      </c>
    </row>
    <row r="14" spans="1:3">
      <c r="A14" s="1" t="s">
        <v>1</v>
      </c>
      <c r="B14" s="1" t="s">
        <v>7</v>
      </c>
      <c r="C14" s="6">
        <v>28575</v>
      </c>
    </row>
    <row r="15" spans="1:3">
      <c r="A15" s="1" t="s">
        <v>1</v>
      </c>
      <c r="B15" s="1" t="s">
        <v>7</v>
      </c>
      <c r="C15" s="5">
        <v>820</v>
      </c>
    </row>
    <row r="16" spans="1:3">
      <c r="A16" s="1" t="s">
        <v>1</v>
      </c>
      <c r="B16" s="1" t="s">
        <v>7</v>
      </c>
      <c r="C16" s="5">
        <v>3510</v>
      </c>
    </row>
    <row r="17" spans="1:3">
      <c r="A17" s="1" t="s">
        <v>1</v>
      </c>
      <c r="B17" s="1" t="s">
        <v>7</v>
      </c>
      <c r="C17" s="5">
        <v>15235</v>
      </c>
    </row>
    <row r="18" spans="1:3">
      <c r="A18" s="1" t="s">
        <v>2</v>
      </c>
      <c r="B18" s="1" t="s">
        <v>7</v>
      </c>
      <c r="C18" s="6">
        <v>35565</v>
      </c>
    </row>
    <row r="19" spans="1:3">
      <c r="A19" s="1" t="s">
        <v>1</v>
      </c>
      <c r="B19" s="1" t="s">
        <v>7</v>
      </c>
      <c r="C19" s="6">
        <v>46920</v>
      </c>
    </row>
    <row r="20" spans="1:3">
      <c r="A20" s="1" t="s">
        <v>3</v>
      </c>
      <c r="B20" s="1" t="s">
        <v>7</v>
      </c>
      <c r="C20" s="5">
        <v>12380</v>
      </c>
    </row>
    <row r="21" spans="1:3">
      <c r="A21" s="1" t="s">
        <v>3</v>
      </c>
      <c r="B21" s="1" t="s">
        <v>7</v>
      </c>
      <c r="C21" s="6">
        <v>68710</v>
      </c>
    </row>
    <row r="22" spans="1:3">
      <c r="A22" s="1" t="s">
        <v>4</v>
      </c>
      <c r="B22" s="1" t="s">
        <v>7</v>
      </c>
      <c r="C22" s="6">
        <v>420010</v>
      </c>
    </row>
    <row r="23" spans="1:3">
      <c r="A23" s="1" t="s">
        <v>1</v>
      </c>
      <c r="B23" s="1" t="s">
        <v>7</v>
      </c>
      <c r="C23" s="5">
        <v>2515</v>
      </c>
    </row>
    <row r="24" spans="1:3">
      <c r="A24" s="1" t="s">
        <v>4</v>
      </c>
      <c r="B24" s="1" t="s">
        <v>7</v>
      </c>
      <c r="C24" s="6">
        <v>405410</v>
      </c>
    </row>
    <row r="25" spans="1:3">
      <c r="A25" s="1" t="s">
        <v>2</v>
      </c>
      <c r="B25" s="1" t="s">
        <v>7</v>
      </c>
      <c r="C25" s="6">
        <v>108435</v>
      </c>
    </row>
    <row r="26" spans="1:3">
      <c r="A26" s="1" t="s">
        <v>3</v>
      </c>
      <c r="B26" s="1" t="s">
        <v>7</v>
      </c>
      <c r="C26" s="6">
        <v>2029355</v>
      </c>
    </row>
    <row r="27" spans="1:3">
      <c r="A27" s="1" t="s">
        <v>4</v>
      </c>
      <c r="B27" s="1" t="s">
        <v>7</v>
      </c>
      <c r="C27" s="6">
        <v>392905</v>
      </c>
    </row>
    <row r="28" spans="1:3">
      <c r="A28" s="1" t="s">
        <v>2</v>
      </c>
      <c r="B28" s="1" t="s">
        <v>7</v>
      </c>
      <c r="C28" s="6">
        <v>69930</v>
      </c>
    </row>
    <row r="29" spans="1:3">
      <c r="A29" s="1" t="s">
        <v>2</v>
      </c>
      <c r="B29" s="1" t="s">
        <v>7</v>
      </c>
      <c r="C29" s="6">
        <v>405155</v>
      </c>
    </row>
    <row r="30" spans="1:3">
      <c r="A30" s="1" t="s">
        <v>4</v>
      </c>
      <c r="B30" s="1" t="s">
        <v>7</v>
      </c>
      <c r="C30" s="6">
        <v>159440</v>
      </c>
    </row>
    <row r="31" spans="1:3">
      <c r="A31" s="1" t="s">
        <v>1</v>
      </c>
      <c r="B31" s="1" t="s">
        <v>7</v>
      </c>
      <c r="C31" s="5">
        <v>6620</v>
      </c>
    </row>
    <row r="32" spans="1:3">
      <c r="A32" s="1" t="s">
        <v>4</v>
      </c>
      <c r="B32" s="1" t="s">
        <v>7</v>
      </c>
      <c r="C32" s="6">
        <v>655765</v>
      </c>
    </row>
    <row r="33" spans="1:3">
      <c r="A33" s="3" t="s">
        <v>1</v>
      </c>
      <c r="B33" s="1" t="s">
        <v>7</v>
      </c>
      <c r="C33" s="2">
        <v>13055</v>
      </c>
    </row>
    <row r="34" spans="1:3">
      <c r="A34" s="3" t="s">
        <v>1</v>
      </c>
      <c r="B34" s="1" t="s">
        <v>7</v>
      </c>
      <c r="C34" s="2">
        <v>2460</v>
      </c>
    </row>
    <row r="35" spans="1:3">
      <c r="A35" s="3" t="s">
        <v>1</v>
      </c>
      <c r="B35" s="1" t="s">
        <v>7</v>
      </c>
      <c r="C35" s="2">
        <v>9490</v>
      </c>
    </row>
    <row r="36" spans="1:3">
      <c r="A36" s="3" t="s">
        <v>1</v>
      </c>
      <c r="B36" s="1" t="s">
        <v>7</v>
      </c>
      <c r="C36" s="2">
        <v>40010</v>
      </c>
    </row>
    <row r="37" spans="1:3">
      <c r="A37" s="3" t="s">
        <v>1</v>
      </c>
      <c r="B37" s="1" t="s">
        <v>7</v>
      </c>
      <c r="C37" s="2">
        <v>6935</v>
      </c>
    </row>
    <row r="38" spans="1:3">
      <c r="A38" s="3" t="s">
        <v>1</v>
      </c>
      <c r="B38" s="1" t="s">
        <v>7</v>
      </c>
      <c r="C38" s="2">
        <v>16570</v>
      </c>
    </row>
    <row r="39" spans="1:3">
      <c r="A39" s="4" t="s">
        <v>1</v>
      </c>
      <c r="B39" s="1" t="s">
        <v>7</v>
      </c>
      <c r="C39" s="2">
        <v>7350</v>
      </c>
    </row>
    <row r="40" spans="1:3">
      <c r="A40" s="3" t="s">
        <v>1</v>
      </c>
      <c r="B40" s="1" t="s">
        <v>7</v>
      </c>
      <c r="C40" s="2">
        <v>34465</v>
      </c>
    </row>
    <row r="41" spans="1:3">
      <c r="A41" s="3" t="s">
        <v>1</v>
      </c>
      <c r="B41" s="1" t="s">
        <v>7</v>
      </c>
      <c r="C41" s="2">
        <v>1025</v>
      </c>
    </row>
    <row r="42" spans="1:3">
      <c r="A42" s="3" t="s">
        <v>1</v>
      </c>
      <c r="B42" s="1" t="s">
        <v>7</v>
      </c>
      <c r="C42" s="2">
        <v>3920</v>
      </c>
    </row>
    <row r="43" spans="1:3">
      <c r="A43" s="4" t="s">
        <v>1</v>
      </c>
      <c r="B43" s="1" t="s">
        <v>7</v>
      </c>
      <c r="C43" s="2">
        <v>19345</v>
      </c>
    </row>
    <row r="44" spans="1:3">
      <c r="A44" s="3" t="s">
        <v>1</v>
      </c>
      <c r="B44" s="1" t="s">
        <v>7</v>
      </c>
      <c r="C44" s="2">
        <v>3850</v>
      </c>
    </row>
    <row r="45" spans="1:3">
      <c r="A45" s="3" t="s">
        <v>1</v>
      </c>
      <c r="B45" s="1" t="s">
        <v>7</v>
      </c>
      <c r="C45" s="2">
        <v>62930</v>
      </c>
    </row>
    <row r="46" spans="1:3">
      <c r="A46" s="3" t="s">
        <v>1</v>
      </c>
      <c r="B46" s="1" t="s">
        <v>7</v>
      </c>
      <c r="C46" s="2">
        <v>87830</v>
      </c>
    </row>
    <row r="47" spans="1:3">
      <c r="A47" s="3" t="s">
        <v>2</v>
      </c>
      <c r="B47" s="1" t="s">
        <v>7</v>
      </c>
      <c r="C47" s="2">
        <v>127680</v>
      </c>
    </row>
    <row r="48" spans="1:3">
      <c r="A48" s="3" t="s">
        <v>2</v>
      </c>
      <c r="B48" s="1" t="s">
        <v>7</v>
      </c>
      <c r="C48" s="2">
        <v>979220</v>
      </c>
    </row>
    <row r="49" spans="1:3">
      <c r="A49" s="3" t="s">
        <v>4</v>
      </c>
      <c r="B49" s="1" t="s">
        <v>7</v>
      </c>
      <c r="C49" s="2">
        <v>394160</v>
      </c>
    </row>
    <row r="50" spans="1:3">
      <c r="A50" s="3" t="s">
        <v>4</v>
      </c>
      <c r="B50" s="1" t="s">
        <v>7</v>
      </c>
      <c r="C50" s="2">
        <v>2364810</v>
      </c>
    </row>
    <row r="51" spans="1:3">
      <c r="A51" s="3" t="s">
        <v>4</v>
      </c>
      <c r="B51" s="1" t="s">
        <v>7</v>
      </c>
      <c r="C51" s="2">
        <v>373375</v>
      </c>
    </row>
    <row r="52" spans="1:3">
      <c r="A52" s="3" t="s">
        <v>4</v>
      </c>
      <c r="B52" s="1" t="s">
        <v>7</v>
      </c>
      <c r="C52" s="2">
        <v>180995</v>
      </c>
    </row>
    <row r="53" spans="1:3">
      <c r="A53" s="3" t="s">
        <v>4</v>
      </c>
      <c r="B53" s="1" t="s">
        <v>7</v>
      </c>
      <c r="C53" s="2">
        <v>691010</v>
      </c>
    </row>
    <row r="54" spans="1:3">
      <c r="A54" s="3" t="s">
        <v>3</v>
      </c>
      <c r="B54" s="1" t="s">
        <v>7</v>
      </c>
      <c r="C54" s="2">
        <v>2296270</v>
      </c>
    </row>
    <row r="55" spans="1:3">
      <c r="A55" s="3" t="s">
        <v>3</v>
      </c>
      <c r="B55" s="1" t="s">
        <v>7</v>
      </c>
      <c r="C55" s="2">
        <v>144385</v>
      </c>
    </row>
    <row r="56" spans="1:3">
      <c r="A56" s="3" t="s">
        <v>3</v>
      </c>
      <c r="B56" s="1" t="s">
        <v>7</v>
      </c>
      <c r="C56" s="2">
        <v>1512190</v>
      </c>
    </row>
    <row r="57" spans="1:3">
      <c r="A57" s="3" t="s">
        <v>5</v>
      </c>
      <c r="B57" s="1" t="s">
        <v>7</v>
      </c>
      <c r="C57" s="2">
        <v>837050</v>
      </c>
    </row>
    <row r="58" spans="1:3">
      <c r="A58" s="1" t="s">
        <v>1</v>
      </c>
      <c r="B58" s="7" t="s">
        <v>6</v>
      </c>
      <c r="C58">
        <v>1375</v>
      </c>
    </row>
    <row r="59" spans="1:3">
      <c r="A59" s="1" t="s">
        <v>1</v>
      </c>
      <c r="B59" s="7" t="s">
        <v>6</v>
      </c>
      <c r="C59">
        <v>145</v>
      </c>
    </row>
    <row r="60" spans="1:3">
      <c r="A60" s="1" t="s">
        <v>1</v>
      </c>
      <c r="B60" s="7" t="s">
        <v>6</v>
      </c>
      <c r="C60">
        <v>1094</v>
      </c>
    </row>
    <row r="61" spans="1:3">
      <c r="A61" s="1" t="s">
        <v>1</v>
      </c>
      <c r="B61" s="7" t="s">
        <v>6</v>
      </c>
      <c r="C61">
        <v>3954</v>
      </c>
    </row>
    <row r="62" spans="1:3">
      <c r="A62" s="1" t="s">
        <v>1</v>
      </c>
      <c r="B62" s="7" t="s">
        <v>6</v>
      </c>
      <c r="C62">
        <v>1195</v>
      </c>
    </row>
    <row r="63" spans="1:3">
      <c r="A63" s="1" t="s">
        <v>2</v>
      </c>
      <c r="B63" s="7" t="s">
        <v>6</v>
      </c>
      <c r="C63">
        <v>114335</v>
      </c>
    </row>
    <row r="64" spans="1:3">
      <c r="A64" s="1" t="s">
        <v>1</v>
      </c>
      <c r="B64" s="7" t="s">
        <v>6</v>
      </c>
      <c r="C64">
        <v>3695</v>
      </c>
    </row>
    <row r="65" spans="1:3">
      <c r="A65" s="1" t="s">
        <v>1</v>
      </c>
      <c r="B65" s="7" t="s">
        <v>6</v>
      </c>
      <c r="C65">
        <v>2765</v>
      </c>
    </row>
    <row r="66" spans="1:3">
      <c r="A66" s="1" t="s">
        <v>4</v>
      </c>
      <c r="B66" s="7" t="s">
        <v>6</v>
      </c>
      <c r="C66">
        <v>330845</v>
      </c>
    </row>
    <row r="67" spans="1:3">
      <c r="A67" s="1" t="s">
        <v>1</v>
      </c>
      <c r="B67" s="7" t="s">
        <v>6</v>
      </c>
      <c r="C67">
        <v>14510</v>
      </c>
    </row>
    <row r="68" spans="1:3">
      <c r="A68" s="1" t="s">
        <v>1</v>
      </c>
      <c r="B68" s="7" t="s">
        <v>6</v>
      </c>
      <c r="C68">
        <v>895</v>
      </c>
    </row>
    <row r="69" spans="1:3">
      <c r="A69" s="1" t="s">
        <v>5</v>
      </c>
      <c r="B69" s="7" t="s">
        <v>6</v>
      </c>
      <c r="C69">
        <v>125900</v>
      </c>
    </row>
    <row r="70" spans="1:3">
      <c r="A70" s="1" t="s">
        <v>1</v>
      </c>
      <c r="B70" s="7" t="s">
        <v>6</v>
      </c>
      <c r="C70">
        <v>3535</v>
      </c>
    </row>
    <row r="71" spans="1:3">
      <c r="A71" s="1" t="s">
        <v>1</v>
      </c>
      <c r="B71" s="7" t="s">
        <v>6</v>
      </c>
      <c r="C71">
        <v>80</v>
      </c>
    </row>
    <row r="72" spans="1:3">
      <c r="A72" s="1" t="s">
        <v>1</v>
      </c>
      <c r="B72" s="7" t="s">
        <v>6</v>
      </c>
      <c r="C72">
        <v>305</v>
      </c>
    </row>
    <row r="73" spans="1:3">
      <c r="A73" s="1" t="s">
        <v>1</v>
      </c>
      <c r="B73" s="7" t="s">
        <v>6</v>
      </c>
      <c r="C73">
        <v>1605</v>
      </c>
    </row>
    <row r="74" spans="1:3">
      <c r="A74" s="1" t="s">
        <v>2</v>
      </c>
      <c r="B74" s="7" t="s">
        <v>6</v>
      </c>
      <c r="C74">
        <v>15365</v>
      </c>
    </row>
    <row r="75" spans="1:3">
      <c r="A75" s="1" t="s">
        <v>1</v>
      </c>
      <c r="B75" s="7" t="s">
        <v>6</v>
      </c>
      <c r="C75">
        <v>5759</v>
      </c>
    </row>
    <row r="76" spans="1:3">
      <c r="A76" s="1" t="s">
        <v>3</v>
      </c>
      <c r="B76" s="7" t="s">
        <v>6</v>
      </c>
      <c r="C76">
        <v>715</v>
      </c>
    </row>
    <row r="77" spans="1:3">
      <c r="A77" s="1" t="s">
        <v>3</v>
      </c>
      <c r="B77" s="7" t="s">
        <v>6</v>
      </c>
      <c r="C77">
        <v>4760</v>
      </c>
    </row>
    <row r="78" spans="1:3">
      <c r="A78" s="1" t="s">
        <v>4</v>
      </c>
      <c r="B78" s="7" t="s">
        <v>6</v>
      </c>
      <c r="C78">
        <v>85680</v>
      </c>
    </row>
    <row r="79" spans="1:3">
      <c r="A79" s="1" t="s">
        <v>1</v>
      </c>
      <c r="B79" s="7" t="s">
        <v>6</v>
      </c>
      <c r="C79">
        <v>315</v>
      </c>
    </row>
    <row r="80" spans="1:3">
      <c r="A80" s="1" t="s">
        <v>4</v>
      </c>
      <c r="B80" s="7" t="s">
        <v>6</v>
      </c>
      <c r="C80">
        <v>126680</v>
      </c>
    </row>
    <row r="81" spans="1:3">
      <c r="A81" s="1" t="s">
        <v>2</v>
      </c>
      <c r="B81" s="7" t="s">
        <v>6</v>
      </c>
      <c r="C81">
        <v>9155</v>
      </c>
    </row>
    <row r="82" spans="1:3">
      <c r="A82" s="1" t="s">
        <v>3</v>
      </c>
      <c r="B82" s="7" t="s">
        <v>6</v>
      </c>
      <c r="C82">
        <v>297895</v>
      </c>
    </row>
    <row r="83" spans="1:3">
      <c r="A83" s="1" t="s">
        <v>4</v>
      </c>
      <c r="B83" s="7" t="s">
        <v>6</v>
      </c>
      <c r="C83">
        <v>56905</v>
      </c>
    </row>
    <row r="84" spans="1:3">
      <c r="A84" s="1" t="s">
        <v>2</v>
      </c>
      <c r="B84" s="7" t="s">
        <v>6</v>
      </c>
      <c r="C84">
        <v>38280</v>
      </c>
    </row>
    <row r="85" spans="1:3">
      <c r="A85" s="1" t="s">
        <v>2</v>
      </c>
      <c r="B85" s="7" t="s">
        <v>6</v>
      </c>
      <c r="C85">
        <v>172240</v>
      </c>
    </row>
    <row r="86" spans="1:3">
      <c r="A86" s="1" t="s">
        <v>4</v>
      </c>
      <c r="B86" s="7" t="s">
        <v>6</v>
      </c>
      <c r="C86">
        <v>25765</v>
      </c>
    </row>
    <row r="87" spans="1:3">
      <c r="A87" s="1" t="s">
        <v>1</v>
      </c>
      <c r="B87" s="7" t="s">
        <v>6</v>
      </c>
      <c r="C87">
        <v>1009</v>
      </c>
    </row>
    <row r="88" spans="1:3">
      <c r="A88" s="1" t="s">
        <v>4</v>
      </c>
      <c r="B88" s="7" t="s">
        <v>6</v>
      </c>
      <c r="C88">
        <v>208695</v>
      </c>
    </row>
    <row r="89" spans="1:3">
      <c r="A89" s="3" t="s">
        <v>1</v>
      </c>
      <c r="B89" s="7" t="s">
        <v>6</v>
      </c>
      <c r="C89">
        <v>3275</v>
      </c>
    </row>
    <row r="90" spans="1:3">
      <c r="A90" s="3" t="s">
        <v>1</v>
      </c>
      <c r="B90" s="7" t="s">
        <v>6</v>
      </c>
      <c r="C90">
        <v>465</v>
      </c>
    </row>
    <row r="91" spans="1:3">
      <c r="A91" s="3" t="s">
        <v>1</v>
      </c>
      <c r="B91" s="7" t="s">
        <v>6</v>
      </c>
      <c r="C91">
        <v>1905</v>
      </c>
    </row>
    <row r="92" spans="1:3">
      <c r="A92" s="3" t="s">
        <v>1</v>
      </c>
      <c r="B92" s="7" t="s">
        <v>6</v>
      </c>
      <c r="C92">
        <v>9070</v>
      </c>
    </row>
    <row r="93" spans="1:3">
      <c r="A93" s="3" t="s">
        <v>1</v>
      </c>
      <c r="B93" s="7" t="s">
        <v>6</v>
      </c>
      <c r="C93">
        <v>1379</v>
      </c>
    </row>
    <row r="94" spans="1:3">
      <c r="A94" s="3" t="s">
        <v>1</v>
      </c>
      <c r="B94" s="7" t="s">
        <v>6</v>
      </c>
      <c r="C94">
        <v>4069</v>
      </c>
    </row>
    <row r="95" spans="1:3">
      <c r="A95" s="4" t="s">
        <v>1</v>
      </c>
      <c r="B95" s="7" t="s">
        <v>6</v>
      </c>
      <c r="C95">
        <v>1590</v>
      </c>
    </row>
    <row r="96" spans="1:3">
      <c r="A96" s="3" t="s">
        <v>1</v>
      </c>
      <c r="B96" s="7" t="s">
        <v>6</v>
      </c>
      <c r="C96">
        <v>8695</v>
      </c>
    </row>
    <row r="97" spans="1:3">
      <c r="A97" s="3" t="s">
        <v>1</v>
      </c>
      <c r="B97" s="7" t="s">
        <v>6</v>
      </c>
      <c r="C97">
        <v>400</v>
      </c>
    </row>
    <row r="98" spans="1:3">
      <c r="A98" s="3" t="s">
        <v>1</v>
      </c>
      <c r="B98" s="7" t="s">
        <v>6</v>
      </c>
      <c r="C98">
        <v>815</v>
      </c>
    </row>
    <row r="99" spans="1:3">
      <c r="A99" s="4" t="s">
        <v>1</v>
      </c>
      <c r="B99" s="7" t="s">
        <v>6</v>
      </c>
      <c r="C99">
        <v>3550</v>
      </c>
    </row>
    <row r="100" spans="1:3">
      <c r="A100" s="3" t="s">
        <v>1</v>
      </c>
      <c r="B100" s="7" t="s">
        <v>6</v>
      </c>
      <c r="C100">
        <v>905</v>
      </c>
    </row>
    <row r="101" spans="1:3">
      <c r="A101" s="3" t="s">
        <v>1</v>
      </c>
      <c r="B101" s="7" t="s">
        <v>6</v>
      </c>
      <c r="C101">
        <v>12930</v>
      </c>
    </row>
    <row r="102" spans="1:3">
      <c r="A102" s="3" t="s">
        <v>1</v>
      </c>
      <c r="B102" s="7" t="s">
        <v>6</v>
      </c>
      <c r="C102">
        <v>29230</v>
      </c>
    </row>
    <row r="103" spans="1:3">
      <c r="A103" s="3" t="s">
        <v>2</v>
      </c>
      <c r="B103" s="7" t="s">
        <v>6</v>
      </c>
      <c r="C103">
        <v>23660</v>
      </c>
    </row>
    <row r="104" spans="1:3">
      <c r="A104" s="3" t="s">
        <v>2</v>
      </c>
      <c r="B104" s="7" t="s">
        <v>6</v>
      </c>
      <c r="C104">
        <v>561360</v>
      </c>
    </row>
    <row r="105" spans="1:3">
      <c r="A105" s="3" t="s">
        <v>4</v>
      </c>
      <c r="B105" s="7" t="s">
        <v>6</v>
      </c>
      <c r="C105">
        <v>198760</v>
      </c>
    </row>
    <row r="106" spans="1:3">
      <c r="A106" s="3" t="s">
        <v>4</v>
      </c>
      <c r="B106" s="7" t="s">
        <v>6</v>
      </c>
      <c r="C106">
        <v>597000</v>
      </c>
    </row>
    <row r="107" spans="1:3">
      <c r="A107" s="3" t="s">
        <v>4</v>
      </c>
      <c r="B107" s="7" t="s">
        <v>6</v>
      </c>
      <c r="C107">
        <v>86015</v>
      </c>
    </row>
    <row r="108" spans="1:3">
      <c r="A108" s="3" t="s">
        <v>4</v>
      </c>
      <c r="B108" s="7" t="s">
        <v>6</v>
      </c>
      <c r="C108">
        <v>48330</v>
      </c>
    </row>
    <row r="109" spans="1:3">
      <c r="A109" s="3" t="s">
        <v>4</v>
      </c>
      <c r="B109" s="7" t="s">
        <v>6</v>
      </c>
      <c r="C109">
        <v>345550</v>
      </c>
    </row>
    <row r="110" spans="1:3">
      <c r="A110" s="3" t="s">
        <v>3</v>
      </c>
      <c r="B110" s="7" t="s">
        <v>6</v>
      </c>
      <c r="C110">
        <v>568975</v>
      </c>
    </row>
    <row r="111" spans="1:3">
      <c r="A111" s="3" t="s">
        <v>3</v>
      </c>
      <c r="B111" s="7" t="s">
        <v>6</v>
      </c>
      <c r="C111">
        <v>21675</v>
      </c>
    </row>
    <row r="112" spans="1:3">
      <c r="A112" s="3" t="s">
        <v>3</v>
      </c>
      <c r="B112" s="7" t="s">
        <v>6</v>
      </c>
      <c r="C112">
        <v>1598285</v>
      </c>
    </row>
    <row r="113" spans="1:3">
      <c r="A113" s="3" t="s">
        <v>5</v>
      </c>
      <c r="B113" s="7" t="s">
        <v>6</v>
      </c>
      <c r="C113">
        <v>295400</v>
      </c>
    </row>
  </sheetData>
  <sortState xmlns:xlrd2="http://schemas.microsoft.com/office/spreadsheetml/2017/richdata2" ref="A2:C57">
    <sortCondition ref="B2:B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1922-178A-4D9E-9EA5-B28AFA1A8B2B}">
  <dimension ref="A1:BG14"/>
  <sheetViews>
    <sheetView workbookViewId="0">
      <selection sqref="A1:XFD1048576"/>
    </sheetView>
  </sheetViews>
  <sheetFormatPr defaultRowHeight="15"/>
  <sheetData>
    <row r="1" spans="1:59">
      <c r="A1" s="10" t="s">
        <v>0</v>
      </c>
      <c r="B1" s="8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2</v>
      </c>
      <c r="H1" s="1" t="s">
        <v>1</v>
      </c>
      <c r="I1" s="1" t="s">
        <v>1</v>
      </c>
      <c r="J1" s="1" t="s">
        <v>4</v>
      </c>
      <c r="K1" s="1" t="s">
        <v>1</v>
      </c>
      <c r="L1" s="1" t="s">
        <v>1</v>
      </c>
      <c r="M1" s="1" t="s">
        <v>5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2</v>
      </c>
      <c r="S1" s="1" t="s">
        <v>1</v>
      </c>
      <c r="T1" s="1" t="s">
        <v>3</v>
      </c>
      <c r="U1" s="1" t="s">
        <v>3</v>
      </c>
      <c r="V1" s="1" t="s">
        <v>4</v>
      </c>
      <c r="W1" s="1" t="s">
        <v>1</v>
      </c>
      <c r="X1" s="1" t="s">
        <v>4</v>
      </c>
      <c r="Y1" s="1" t="s">
        <v>2</v>
      </c>
      <c r="Z1" s="1" t="s">
        <v>3</v>
      </c>
      <c r="AA1" s="1" t="s">
        <v>4</v>
      </c>
      <c r="AB1" s="1" t="s">
        <v>2</v>
      </c>
      <c r="AC1" s="1" t="s">
        <v>2</v>
      </c>
      <c r="AD1" s="1" t="s">
        <v>4</v>
      </c>
      <c r="AE1" s="1" t="s">
        <v>1</v>
      </c>
      <c r="AF1" s="1" t="s">
        <v>4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 t="s">
        <v>1</v>
      </c>
      <c r="AM1" s="13" t="s">
        <v>1</v>
      </c>
      <c r="AN1" s="3" t="s">
        <v>1</v>
      </c>
      <c r="AO1" s="3" t="s">
        <v>1</v>
      </c>
      <c r="AP1" s="3" t="s">
        <v>1</v>
      </c>
      <c r="AQ1" s="13" t="s">
        <v>1</v>
      </c>
      <c r="AR1" s="3" t="s">
        <v>1</v>
      </c>
      <c r="AS1" s="3" t="s">
        <v>1</v>
      </c>
      <c r="AT1" s="3" t="s">
        <v>1</v>
      </c>
      <c r="AU1" s="3" t="s">
        <v>2</v>
      </c>
      <c r="AV1" s="3" t="s">
        <v>2</v>
      </c>
      <c r="AW1" s="3" t="s">
        <v>4</v>
      </c>
      <c r="AX1" s="3" t="s">
        <v>4</v>
      </c>
      <c r="AY1" s="3" t="s">
        <v>4</v>
      </c>
      <c r="AZ1" s="3" t="s">
        <v>4</v>
      </c>
      <c r="BA1" s="3" t="s">
        <v>4</v>
      </c>
      <c r="BB1" s="3" t="s">
        <v>3</v>
      </c>
      <c r="BC1" s="3" t="s">
        <v>3</v>
      </c>
      <c r="BD1" s="3" t="s">
        <v>3</v>
      </c>
      <c r="BE1" s="3" t="s">
        <v>5</v>
      </c>
      <c r="BF1" s="1" t="s">
        <v>1</v>
      </c>
      <c r="BG1" s="1" t="s">
        <v>1</v>
      </c>
    </row>
    <row r="2" spans="1:59">
      <c r="A2" s="1" t="s">
        <v>11</v>
      </c>
      <c r="B2" s="6">
        <v>11140</v>
      </c>
      <c r="C2" s="6">
        <v>1680</v>
      </c>
      <c r="D2" s="6">
        <v>6315</v>
      </c>
      <c r="E2" s="6">
        <v>28570</v>
      </c>
      <c r="F2" s="6">
        <v>5910</v>
      </c>
      <c r="G2" s="6">
        <v>319025</v>
      </c>
      <c r="H2" s="6">
        <v>32480</v>
      </c>
      <c r="I2" s="6">
        <v>12335</v>
      </c>
      <c r="J2" s="6">
        <v>2197265</v>
      </c>
      <c r="K2" s="6">
        <v>55290</v>
      </c>
      <c r="L2" s="6">
        <v>6230</v>
      </c>
      <c r="M2" s="6">
        <v>494440</v>
      </c>
      <c r="N2" s="6">
        <v>23845</v>
      </c>
      <c r="O2" s="1">
        <v>730</v>
      </c>
      <c r="P2" s="6">
        <v>2560</v>
      </c>
      <c r="Q2" s="6">
        <v>12960</v>
      </c>
      <c r="R2" s="6">
        <v>33755</v>
      </c>
      <c r="S2" s="6">
        <v>35050</v>
      </c>
      <c r="T2" s="6">
        <v>11815</v>
      </c>
      <c r="U2" s="6">
        <v>65165</v>
      </c>
      <c r="V2" s="6">
        <v>387990</v>
      </c>
      <c r="W2" s="6">
        <v>2015</v>
      </c>
      <c r="X2" s="6">
        <v>387810</v>
      </c>
      <c r="Y2" s="6">
        <v>104605</v>
      </c>
      <c r="Z2" s="6">
        <v>1839985</v>
      </c>
      <c r="AA2" s="6">
        <v>380240</v>
      </c>
      <c r="AB2" s="6">
        <v>66700</v>
      </c>
      <c r="AC2" s="6">
        <v>388905</v>
      </c>
      <c r="AD2" s="6">
        <v>155145</v>
      </c>
      <c r="AE2" s="6">
        <v>6325</v>
      </c>
      <c r="AF2" s="6">
        <v>630010</v>
      </c>
      <c r="AG2" s="6">
        <v>48484140</v>
      </c>
      <c r="AH2" s="12">
        <v>47886060</v>
      </c>
      <c r="AI2" s="12">
        <v>10645</v>
      </c>
      <c r="AJ2" s="12">
        <v>1795</v>
      </c>
      <c r="AK2" s="12">
        <v>7360</v>
      </c>
      <c r="AL2" s="12">
        <v>33525</v>
      </c>
      <c r="AM2" s="12">
        <v>3550</v>
      </c>
      <c r="AN2" s="12">
        <v>10685</v>
      </c>
      <c r="AO2" s="12">
        <v>6280</v>
      </c>
      <c r="AP2" s="12">
        <v>27745</v>
      </c>
      <c r="AQ2" s="3">
        <v>835</v>
      </c>
      <c r="AR2" s="12">
        <v>2910</v>
      </c>
      <c r="AS2" s="12">
        <v>15150</v>
      </c>
      <c r="AT2" s="12">
        <v>3115</v>
      </c>
      <c r="AU2" s="12">
        <v>44890</v>
      </c>
      <c r="AV2" s="12">
        <v>75875</v>
      </c>
      <c r="AW2" s="12">
        <v>122610</v>
      </c>
      <c r="AX2" s="12">
        <v>932655</v>
      </c>
      <c r="AY2" s="12">
        <v>374035</v>
      </c>
      <c r="AZ2" s="12">
        <v>2283435</v>
      </c>
      <c r="BA2" s="12">
        <v>358350</v>
      </c>
      <c r="BB2" s="12">
        <v>175040</v>
      </c>
      <c r="BC2" s="12">
        <v>649570</v>
      </c>
      <c r="BD2" s="12">
        <v>2059395</v>
      </c>
      <c r="BE2" s="12">
        <v>135330</v>
      </c>
      <c r="BF2" s="12">
        <v>1335565</v>
      </c>
      <c r="BG2" s="12">
        <v>639760</v>
      </c>
    </row>
    <row r="3" spans="1:59">
      <c r="A3" s="1" t="s">
        <v>14</v>
      </c>
      <c r="B3" s="6">
        <v>3010</v>
      </c>
      <c r="C3" s="1">
        <v>365</v>
      </c>
      <c r="D3" s="6">
        <v>1405</v>
      </c>
      <c r="E3" s="6">
        <v>5735</v>
      </c>
      <c r="F3" s="6">
        <v>2725</v>
      </c>
      <c r="G3" s="6">
        <v>11250</v>
      </c>
      <c r="H3" s="6">
        <v>3115</v>
      </c>
      <c r="I3" s="6">
        <v>5570</v>
      </c>
      <c r="J3" s="6">
        <v>59675</v>
      </c>
      <c r="K3" s="6">
        <v>9930</v>
      </c>
      <c r="L3" s="6">
        <v>1075</v>
      </c>
      <c r="M3" s="6">
        <v>34685</v>
      </c>
      <c r="N3" s="6">
        <v>4580</v>
      </c>
      <c r="O3" s="1">
        <v>90</v>
      </c>
      <c r="P3" s="1">
        <v>895</v>
      </c>
      <c r="Q3" s="6">
        <v>2190</v>
      </c>
      <c r="R3" s="6">
        <v>1610</v>
      </c>
      <c r="S3" s="6">
        <v>11540</v>
      </c>
      <c r="T3" s="1">
        <v>475</v>
      </c>
      <c r="U3" s="6">
        <v>3305</v>
      </c>
      <c r="V3" s="6">
        <v>29920</v>
      </c>
      <c r="W3" s="1">
        <v>480</v>
      </c>
      <c r="X3" s="6">
        <v>16550</v>
      </c>
      <c r="Y3" s="6">
        <v>3400</v>
      </c>
      <c r="Z3" s="6">
        <v>183890</v>
      </c>
      <c r="AA3" s="6">
        <v>11330</v>
      </c>
      <c r="AB3" s="6">
        <v>3005</v>
      </c>
      <c r="AC3" s="6">
        <v>14765</v>
      </c>
      <c r="AD3" s="6">
        <v>3945</v>
      </c>
      <c r="AE3" s="1">
        <v>295</v>
      </c>
      <c r="AF3" s="6">
        <v>24185</v>
      </c>
      <c r="AG3" s="6">
        <v>3548085</v>
      </c>
      <c r="AH3" s="12">
        <v>4441485</v>
      </c>
      <c r="AI3" s="12">
        <v>2410</v>
      </c>
      <c r="AJ3" s="3">
        <v>665</v>
      </c>
      <c r="AK3" s="12">
        <v>2130</v>
      </c>
      <c r="AL3" s="12">
        <v>6485</v>
      </c>
      <c r="AM3" s="12">
        <v>3385</v>
      </c>
      <c r="AN3" s="12">
        <v>5885</v>
      </c>
      <c r="AO3" s="12">
        <v>1070</v>
      </c>
      <c r="AP3" s="12">
        <v>6720</v>
      </c>
      <c r="AQ3" s="3">
        <v>190</v>
      </c>
      <c r="AR3" s="12">
        <v>1010</v>
      </c>
      <c r="AS3" s="12">
        <v>4195</v>
      </c>
      <c r="AT3" s="3">
        <v>735</v>
      </c>
      <c r="AU3" s="12">
        <v>18040</v>
      </c>
      <c r="AV3" s="12">
        <v>11955</v>
      </c>
      <c r="AW3" s="12">
        <v>5070</v>
      </c>
      <c r="AX3" s="12">
        <v>46565</v>
      </c>
      <c r="AY3" s="12">
        <v>20125</v>
      </c>
      <c r="AZ3" s="12">
        <v>81375</v>
      </c>
      <c r="BA3" s="12">
        <v>15025</v>
      </c>
      <c r="BB3" s="12">
        <v>5955</v>
      </c>
      <c r="BC3" s="12">
        <v>41440</v>
      </c>
      <c r="BD3" s="12">
        <v>236875</v>
      </c>
      <c r="BE3" s="12">
        <v>9055</v>
      </c>
      <c r="BF3" s="12">
        <v>176625</v>
      </c>
      <c r="BG3" s="12">
        <v>197290</v>
      </c>
    </row>
    <row r="4" spans="1:59">
      <c r="A4" s="1" t="s">
        <v>7</v>
      </c>
      <c r="B4" s="1">
        <v>110</v>
      </c>
      <c r="C4" s="1">
        <v>25</v>
      </c>
      <c r="D4" s="1">
        <v>25</v>
      </c>
      <c r="E4" s="1">
        <v>355</v>
      </c>
      <c r="F4" s="1">
        <v>45</v>
      </c>
      <c r="G4" s="6">
        <v>1480</v>
      </c>
      <c r="H4" s="1">
        <v>180</v>
      </c>
      <c r="I4" s="1">
        <v>190</v>
      </c>
      <c r="J4" s="6">
        <v>6055</v>
      </c>
      <c r="K4" s="1">
        <v>250</v>
      </c>
      <c r="L4" s="1">
        <v>0</v>
      </c>
      <c r="M4" s="6">
        <v>1985</v>
      </c>
      <c r="N4" s="1">
        <v>150</v>
      </c>
      <c r="O4" s="1">
        <v>0</v>
      </c>
      <c r="P4" s="1">
        <v>55</v>
      </c>
      <c r="Q4" s="1">
        <v>85</v>
      </c>
      <c r="R4" s="1">
        <v>200</v>
      </c>
      <c r="S4" s="1">
        <v>330</v>
      </c>
      <c r="T4" s="1">
        <v>90</v>
      </c>
      <c r="U4" s="1">
        <v>240</v>
      </c>
      <c r="V4" s="6">
        <v>2100</v>
      </c>
      <c r="W4" s="1">
        <v>20</v>
      </c>
      <c r="X4" s="6">
        <v>1050</v>
      </c>
      <c r="Y4" s="1">
        <v>430</v>
      </c>
      <c r="Z4" s="6">
        <v>5480</v>
      </c>
      <c r="AA4" s="6">
        <v>1335</v>
      </c>
      <c r="AB4" s="1">
        <v>225</v>
      </c>
      <c r="AC4" s="6">
        <v>1485</v>
      </c>
      <c r="AD4" s="1">
        <v>350</v>
      </c>
      <c r="AE4" s="1">
        <v>0</v>
      </c>
      <c r="AF4" s="6">
        <v>1570</v>
      </c>
      <c r="AG4" s="6">
        <v>207365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59">
      <c r="A5" s="1" t="s">
        <v>19</v>
      </c>
      <c r="B5" s="6">
        <f>SUM(B2:B4)</f>
        <v>14260</v>
      </c>
      <c r="C5" s="6">
        <f t="shared" ref="C5:BG5" si="0">SUM(C2:C4)</f>
        <v>2070</v>
      </c>
      <c r="D5" s="6">
        <f t="shared" si="0"/>
        <v>7745</v>
      </c>
      <c r="E5" s="6">
        <f t="shared" si="0"/>
        <v>34660</v>
      </c>
      <c r="F5" s="6">
        <f t="shared" si="0"/>
        <v>8680</v>
      </c>
      <c r="G5" s="6">
        <f t="shared" si="0"/>
        <v>331755</v>
      </c>
      <c r="H5" s="6">
        <f t="shared" si="0"/>
        <v>35775</v>
      </c>
      <c r="I5" s="6">
        <f t="shared" si="0"/>
        <v>18095</v>
      </c>
      <c r="J5" s="6">
        <f t="shared" si="0"/>
        <v>2262995</v>
      </c>
      <c r="K5" s="6">
        <f t="shared" si="0"/>
        <v>65470</v>
      </c>
      <c r="L5" s="6">
        <f t="shared" si="0"/>
        <v>7305</v>
      </c>
      <c r="M5" s="6">
        <f t="shared" si="0"/>
        <v>531110</v>
      </c>
      <c r="N5" s="6">
        <f t="shared" si="0"/>
        <v>28575</v>
      </c>
      <c r="O5" s="6">
        <f t="shared" si="0"/>
        <v>820</v>
      </c>
      <c r="P5" s="6">
        <f t="shared" si="0"/>
        <v>3510</v>
      </c>
      <c r="Q5" s="6">
        <f t="shared" si="0"/>
        <v>15235</v>
      </c>
      <c r="R5" s="6">
        <f t="shared" si="0"/>
        <v>35565</v>
      </c>
      <c r="S5" s="6">
        <f t="shared" si="0"/>
        <v>46920</v>
      </c>
      <c r="T5" s="6">
        <f t="shared" si="0"/>
        <v>12380</v>
      </c>
      <c r="U5" s="6">
        <f t="shared" si="0"/>
        <v>68710</v>
      </c>
      <c r="V5" s="6">
        <f t="shared" si="0"/>
        <v>420010</v>
      </c>
      <c r="W5" s="6">
        <f t="shared" si="0"/>
        <v>2515</v>
      </c>
      <c r="X5" s="6">
        <f t="shared" si="0"/>
        <v>405410</v>
      </c>
      <c r="Y5" s="6">
        <f t="shared" si="0"/>
        <v>108435</v>
      </c>
      <c r="Z5" s="6">
        <f t="shared" si="0"/>
        <v>2029355</v>
      </c>
      <c r="AA5" s="6">
        <f t="shared" si="0"/>
        <v>392905</v>
      </c>
      <c r="AB5" s="6">
        <f t="shared" si="0"/>
        <v>69930</v>
      </c>
      <c r="AC5" s="6">
        <f t="shared" si="0"/>
        <v>405155</v>
      </c>
      <c r="AD5" s="6">
        <f t="shared" si="0"/>
        <v>159440</v>
      </c>
      <c r="AE5" s="6">
        <f t="shared" si="0"/>
        <v>6620</v>
      </c>
      <c r="AF5" s="6">
        <f t="shared" si="0"/>
        <v>655765</v>
      </c>
      <c r="AG5" s="6">
        <f t="shared" si="0"/>
        <v>52239590</v>
      </c>
      <c r="AH5" s="6">
        <f t="shared" si="0"/>
        <v>52327545</v>
      </c>
      <c r="AI5" s="6">
        <f t="shared" si="0"/>
        <v>13055</v>
      </c>
      <c r="AJ5" s="6">
        <f t="shared" si="0"/>
        <v>2460</v>
      </c>
      <c r="AK5" s="6">
        <f t="shared" si="0"/>
        <v>9490</v>
      </c>
      <c r="AL5" s="6">
        <f t="shared" si="0"/>
        <v>40010</v>
      </c>
      <c r="AM5" s="6">
        <f t="shared" si="0"/>
        <v>6935</v>
      </c>
      <c r="AN5" s="6">
        <f t="shared" si="0"/>
        <v>16570</v>
      </c>
      <c r="AO5" s="6">
        <f t="shared" si="0"/>
        <v>7350</v>
      </c>
      <c r="AP5" s="6">
        <f t="shared" si="0"/>
        <v>34465</v>
      </c>
      <c r="AQ5" s="6">
        <f t="shared" si="0"/>
        <v>1025</v>
      </c>
      <c r="AR5" s="6">
        <f t="shared" si="0"/>
        <v>3920</v>
      </c>
      <c r="AS5" s="6">
        <f t="shared" si="0"/>
        <v>19345</v>
      </c>
      <c r="AT5" s="6">
        <f t="shared" si="0"/>
        <v>3850</v>
      </c>
      <c r="AU5" s="6">
        <f t="shared" si="0"/>
        <v>62930</v>
      </c>
      <c r="AV5" s="6">
        <f t="shared" si="0"/>
        <v>87830</v>
      </c>
      <c r="AW5" s="6">
        <f t="shared" si="0"/>
        <v>127680</v>
      </c>
      <c r="AX5" s="6">
        <f t="shared" si="0"/>
        <v>979220</v>
      </c>
      <c r="AY5" s="6">
        <f t="shared" si="0"/>
        <v>394160</v>
      </c>
      <c r="AZ5" s="6">
        <f t="shared" si="0"/>
        <v>2364810</v>
      </c>
      <c r="BA5" s="6">
        <f t="shared" si="0"/>
        <v>373375</v>
      </c>
      <c r="BB5" s="6">
        <f t="shared" si="0"/>
        <v>180995</v>
      </c>
      <c r="BC5" s="6">
        <f t="shared" si="0"/>
        <v>691010</v>
      </c>
      <c r="BD5" s="6">
        <f t="shared" si="0"/>
        <v>2296270</v>
      </c>
      <c r="BE5" s="6">
        <f t="shared" si="0"/>
        <v>144385</v>
      </c>
      <c r="BF5" s="6">
        <f t="shared" si="0"/>
        <v>1512190</v>
      </c>
      <c r="BG5" s="6">
        <f t="shared" si="0"/>
        <v>837050</v>
      </c>
    </row>
    <row r="6" spans="1:59">
      <c r="A6" s="1" t="s">
        <v>15</v>
      </c>
      <c r="B6" s="1">
        <v>0</v>
      </c>
      <c r="C6" s="1">
        <v>0</v>
      </c>
      <c r="D6" s="1">
        <v>0</v>
      </c>
      <c r="E6" s="1">
        <v>120</v>
      </c>
      <c r="F6" s="1">
        <v>20</v>
      </c>
      <c r="G6" s="1">
        <v>715</v>
      </c>
      <c r="H6" s="1">
        <v>35</v>
      </c>
      <c r="I6" s="1">
        <v>20</v>
      </c>
      <c r="J6" s="6">
        <v>1780</v>
      </c>
      <c r="K6" s="1">
        <v>85</v>
      </c>
      <c r="L6" s="1">
        <v>40</v>
      </c>
      <c r="M6" s="1">
        <v>340</v>
      </c>
      <c r="N6" s="1">
        <v>65</v>
      </c>
      <c r="O6" s="1">
        <v>0</v>
      </c>
      <c r="P6" s="1">
        <v>0</v>
      </c>
      <c r="Q6" s="1">
        <v>0</v>
      </c>
      <c r="R6" s="1">
        <v>75</v>
      </c>
      <c r="S6" s="1">
        <v>90</v>
      </c>
      <c r="T6" s="1">
        <v>0</v>
      </c>
      <c r="U6" s="1">
        <v>10</v>
      </c>
      <c r="V6" s="1">
        <v>825</v>
      </c>
      <c r="W6" s="1">
        <v>0</v>
      </c>
      <c r="X6" s="1">
        <v>710</v>
      </c>
      <c r="Y6" s="1">
        <v>35</v>
      </c>
      <c r="Z6" s="6">
        <v>1930</v>
      </c>
      <c r="AA6" s="1">
        <v>305</v>
      </c>
      <c r="AB6" s="1">
        <v>165</v>
      </c>
      <c r="AC6" s="1">
        <v>645</v>
      </c>
      <c r="AD6" s="1">
        <v>185</v>
      </c>
      <c r="AE6" s="1">
        <v>4</v>
      </c>
      <c r="AF6" s="6">
        <v>1530</v>
      </c>
      <c r="AG6" s="6">
        <v>111180</v>
      </c>
      <c r="AH6" s="12">
        <v>129895</v>
      </c>
      <c r="AI6" s="3">
        <v>25</v>
      </c>
      <c r="AJ6" s="3">
        <v>0</v>
      </c>
      <c r="AK6" s="3">
        <v>0</v>
      </c>
      <c r="AL6" s="3">
        <v>65</v>
      </c>
      <c r="AM6" s="3">
        <v>30</v>
      </c>
      <c r="AN6" s="3">
        <v>4</v>
      </c>
      <c r="AO6" s="3">
        <v>15</v>
      </c>
      <c r="AP6" s="3">
        <v>70</v>
      </c>
      <c r="AQ6" s="3">
        <v>15</v>
      </c>
      <c r="AR6" s="3">
        <v>0</v>
      </c>
      <c r="AS6" s="3">
        <v>15</v>
      </c>
      <c r="AT6" s="3">
        <v>20</v>
      </c>
      <c r="AU6" s="3">
        <v>215</v>
      </c>
      <c r="AV6" s="3">
        <v>170</v>
      </c>
      <c r="AW6" s="3">
        <v>30</v>
      </c>
      <c r="AX6" s="12">
        <v>2040</v>
      </c>
      <c r="AY6" s="3">
        <v>675</v>
      </c>
      <c r="AZ6" s="12">
        <v>1990</v>
      </c>
      <c r="BA6" s="3">
        <v>380</v>
      </c>
      <c r="BB6" s="3">
        <v>230</v>
      </c>
      <c r="BC6" s="12">
        <v>1850</v>
      </c>
      <c r="BD6" s="12">
        <v>2625</v>
      </c>
      <c r="BE6" s="3">
        <v>25</v>
      </c>
      <c r="BF6" s="12">
        <v>8895</v>
      </c>
      <c r="BG6" s="12">
        <v>1100</v>
      </c>
    </row>
    <row r="7" spans="1:59">
      <c r="A7" s="1" t="s">
        <v>16</v>
      </c>
      <c r="B7" s="1">
        <v>25</v>
      </c>
      <c r="C7" s="1">
        <v>0</v>
      </c>
      <c r="D7" s="1">
        <v>25</v>
      </c>
      <c r="E7" s="1">
        <v>25</v>
      </c>
      <c r="F7" s="1">
        <v>30</v>
      </c>
      <c r="G7" s="6">
        <v>1550</v>
      </c>
      <c r="H7" s="1">
        <v>40</v>
      </c>
      <c r="I7" s="1">
        <v>0</v>
      </c>
      <c r="J7" s="6">
        <v>3305</v>
      </c>
      <c r="K7" s="1">
        <v>225</v>
      </c>
      <c r="L7" s="1">
        <v>70</v>
      </c>
      <c r="M7" s="6">
        <v>1320</v>
      </c>
      <c r="N7" s="1">
        <v>55</v>
      </c>
      <c r="O7" s="1">
        <v>0</v>
      </c>
      <c r="P7" s="1">
        <v>0</v>
      </c>
      <c r="Q7" s="1">
        <v>40</v>
      </c>
      <c r="R7" s="1">
        <v>160</v>
      </c>
      <c r="S7" s="1">
        <v>40</v>
      </c>
      <c r="T7" s="1">
        <v>45</v>
      </c>
      <c r="U7" s="1">
        <v>80</v>
      </c>
      <c r="V7" s="6">
        <v>1900</v>
      </c>
      <c r="W7" s="1">
        <v>0</v>
      </c>
      <c r="X7" s="6">
        <v>1455</v>
      </c>
      <c r="Y7" s="1">
        <v>245</v>
      </c>
      <c r="Z7" s="6">
        <v>2800</v>
      </c>
      <c r="AA7" s="1">
        <v>780</v>
      </c>
      <c r="AB7" s="1">
        <v>395</v>
      </c>
      <c r="AC7" s="6">
        <v>1945</v>
      </c>
      <c r="AD7" s="1">
        <v>310</v>
      </c>
      <c r="AE7" s="1">
        <v>0</v>
      </c>
      <c r="AF7" s="6">
        <v>1895</v>
      </c>
      <c r="AG7" s="6">
        <v>172975</v>
      </c>
      <c r="AH7" s="12">
        <v>1644630</v>
      </c>
      <c r="AI7" s="3">
        <v>525</v>
      </c>
      <c r="AJ7" s="3">
        <v>70</v>
      </c>
      <c r="AK7" s="3">
        <v>280</v>
      </c>
      <c r="AL7" s="12">
        <v>1250</v>
      </c>
      <c r="AM7" s="3">
        <v>145</v>
      </c>
      <c r="AN7" s="3">
        <v>395</v>
      </c>
      <c r="AO7" s="3">
        <v>185</v>
      </c>
      <c r="AP7" s="12">
        <v>1065</v>
      </c>
      <c r="AQ7" s="3">
        <v>25</v>
      </c>
      <c r="AR7" s="3">
        <v>70</v>
      </c>
      <c r="AS7" s="3">
        <v>595</v>
      </c>
      <c r="AT7" s="3">
        <v>105</v>
      </c>
      <c r="AU7" s="12">
        <v>1805</v>
      </c>
      <c r="AV7" s="12">
        <v>2655</v>
      </c>
      <c r="AW7" s="12">
        <v>3035</v>
      </c>
      <c r="AX7" s="12">
        <v>33660</v>
      </c>
      <c r="AY7" s="12">
        <v>10815</v>
      </c>
      <c r="AZ7" s="12">
        <v>45910</v>
      </c>
      <c r="BA7" s="12">
        <v>8300</v>
      </c>
      <c r="BB7" s="12">
        <v>4235</v>
      </c>
      <c r="BC7" s="12">
        <v>20555</v>
      </c>
      <c r="BD7" s="12">
        <v>48990</v>
      </c>
      <c r="BE7" s="12">
        <v>2400</v>
      </c>
      <c r="BF7" s="12">
        <v>72875</v>
      </c>
      <c r="BG7" s="12">
        <v>20890</v>
      </c>
    </row>
    <row r="8" spans="1:59">
      <c r="A8" s="1" t="s">
        <v>17</v>
      </c>
      <c r="B8" s="1">
        <v>35</v>
      </c>
      <c r="C8" s="1">
        <v>0</v>
      </c>
      <c r="D8" s="1">
        <v>15</v>
      </c>
      <c r="E8" s="1">
        <v>260</v>
      </c>
      <c r="F8" s="1">
        <v>10</v>
      </c>
      <c r="G8" s="6">
        <v>2255</v>
      </c>
      <c r="H8" s="1">
        <v>280</v>
      </c>
      <c r="I8" s="1">
        <v>40</v>
      </c>
      <c r="J8" s="6">
        <v>8555</v>
      </c>
      <c r="K8" s="1">
        <v>420</v>
      </c>
      <c r="L8" s="1">
        <v>10</v>
      </c>
      <c r="M8" s="6">
        <v>3000</v>
      </c>
      <c r="N8" s="1">
        <v>140</v>
      </c>
      <c r="O8" s="1">
        <v>0</v>
      </c>
      <c r="P8" s="1">
        <v>15</v>
      </c>
      <c r="Q8" s="1">
        <v>60</v>
      </c>
      <c r="R8" s="1">
        <v>340</v>
      </c>
      <c r="S8" s="1">
        <v>250</v>
      </c>
      <c r="T8" s="1">
        <v>15</v>
      </c>
      <c r="U8" s="1">
        <v>280</v>
      </c>
      <c r="V8" s="6">
        <v>2500</v>
      </c>
      <c r="W8" s="1">
        <v>10</v>
      </c>
      <c r="X8" s="6">
        <v>1975</v>
      </c>
      <c r="Y8" s="1">
        <v>500</v>
      </c>
      <c r="Z8" s="6">
        <v>8045</v>
      </c>
      <c r="AA8" s="6">
        <v>1955</v>
      </c>
      <c r="AB8" s="1">
        <v>430</v>
      </c>
      <c r="AC8" s="6">
        <v>2660</v>
      </c>
      <c r="AD8" s="6">
        <v>1095</v>
      </c>
      <c r="AE8" s="1">
        <v>50</v>
      </c>
      <c r="AF8" s="6">
        <v>3945</v>
      </c>
      <c r="AG8" s="6">
        <v>304170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59">
      <c r="A9" s="1" t="s">
        <v>18</v>
      </c>
      <c r="B9" s="1">
        <v>85</v>
      </c>
      <c r="C9" s="1">
        <v>0</v>
      </c>
      <c r="D9" s="1">
        <v>0</v>
      </c>
      <c r="E9" s="1">
        <v>4</v>
      </c>
      <c r="F9" s="1">
        <v>20</v>
      </c>
      <c r="G9" s="1">
        <v>540</v>
      </c>
      <c r="H9" s="1">
        <v>15</v>
      </c>
      <c r="I9" s="1">
        <v>65</v>
      </c>
      <c r="J9" s="6">
        <v>2155</v>
      </c>
      <c r="K9" s="1">
        <v>190</v>
      </c>
      <c r="L9" s="1">
        <v>0</v>
      </c>
      <c r="M9" s="1">
        <v>325</v>
      </c>
      <c r="N9" s="1">
        <v>0</v>
      </c>
      <c r="O9" s="1">
        <v>0</v>
      </c>
      <c r="P9" s="1">
        <v>0</v>
      </c>
      <c r="Q9" s="1">
        <v>30</v>
      </c>
      <c r="R9" s="1">
        <v>80</v>
      </c>
      <c r="S9" s="1">
        <v>4</v>
      </c>
      <c r="T9" s="1">
        <v>0</v>
      </c>
      <c r="U9" s="1">
        <v>35</v>
      </c>
      <c r="V9" s="1">
        <v>615</v>
      </c>
      <c r="W9" s="1">
        <v>0</v>
      </c>
      <c r="X9" s="1">
        <v>455</v>
      </c>
      <c r="Y9" s="1">
        <v>25</v>
      </c>
      <c r="Z9" s="6">
        <v>1305</v>
      </c>
      <c r="AA9" s="1">
        <v>310</v>
      </c>
      <c r="AB9" s="1">
        <v>235</v>
      </c>
      <c r="AC9" s="6">
        <v>1240</v>
      </c>
      <c r="AD9" s="1">
        <v>150</v>
      </c>
      <c r="AE9" s="1">
        <v>0</v>
      </c>
      <c r="AF9" s="1">
        <v>825</v>
      </c>
      <c r="AG9" s="6">
        <v>64820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59">
      <c r="A10" s="1" t="s">
        <v>12</v>
      </c>
      <c r="B10" s="1">
        <v>840</v>
      </c>
      <c r="C10" s="1">
        <v>40</v>
      </c>
      <c r="D10" s="1">
        <v>735</v>
      </c>
      <c r="E10" s="6">
        <v>2330</v>
      </c>
      <c r="F10" s="1">
        <v>845</v>
      </c>
      <c r="G10" s="6">
        <v>87735</v>
      </c>
      <c r="H10" s="6">
        <v>1820</v>
      </c>
      <c r="I10" s="6">
        <v>1970</v>
      </c>
      <c r="J10" s="6">
        <v>239930</v>
      </c>
      <c r="K10" s="6">
        <v>9650</v>
      </c>
      <c r="L10" s="1">
        <v>565</v>
      </c>
      <c r="M10" s="6">
        <v>79830</v>
      </c>
      <c r="N10" s="6">
        <v>2300</v>
      </c>
      <c r="O10" s="1">
        <v>80</v>
      </c>
      <c r="P10" s="1">
        <v>165</v>
      </c>
      <c r="Q10" s="6">
        <v>1010</v>
      </c>
      <c r="R10" s="6">
        <v>10740</v>
      </c>
      <c r="S10" s="6">
        <v>4070</v>
      </c>
      <c r="T10" s="1">
        <v>485</v>
      </c>
      <c r="U10" s="6">
        <v>3615</v>
      </c>
      <c r="V10" s="6">
        <v>57815</v>
      </c>
      <c r="W10" s="1">
        <v>165</v>
      </c>
      <c r="X10" s="6">
        <v>91940</v>
      </c>
      <c r="Y10" s="6">
        <v>5975</v>
      </c>
      <c r="Z10" s="6">
        <v>239360</v>
      </c>
      <c r="AA10" s="6">
        <v>38665</v>
      </c>
      <c r="AB10" s="6">
        <v>27590</v>
      </c>
      <c r="AC10" s="6">
        <v>132520</v>
      </c>
      <c r="AD10" s="6">
        <v>18250</v>
      </c>
      <c r="AE10" s="1">
        <v>520</v>
      </c>
      <c r="AF10" s="6">
        <v>129715</v>
      </c>
      <c r="AG10" s="6">
        <v>9419090</v>
      </c>
      <c r="AH10" s="12">
        <v>10248540</v>
      </c>
      <c r="AI10" s="12">
        <v>1185</v>
      </c>
      <c r="AJ10" s="3">
        <v>170</v>
      </c>
      <c r="AK10" s="3">
        <v>590</v>
      </c>
      <c r="AL10" s="12">
        <v>2790</v>
      </c>
      <c r="AM10" s="3">
        <v>635</v>
      </c>
      <c r="AN10" s="12">
        <v>1710</v>
      </c>
      <c r="AO10" s="3">
        <v>675</v>
      </c>
      <c r="AP10" s="12">
        <v>3515</v>
      </c>
      <c r="AQ10" s="3">
        <v>220</v>
      </c>
      <c r="AR10" s="3">
        <v>350</v>
      </c>
      <c r="AS10" s="12">
        <v>1190</v>
      </c>
      <c r="AT10" s="3">
        <v>290</v>
      </c>
      <c r="AU10" s="12">
        <v>4775</v>
      </c>
      <c r="AV10" s="12">
        <v>12005</v>
      </c>
      <c r="AW10" s="12">
        <v>8360</v>
      </c>
      <c r="AX10" s="12">
        <v>304470</v>
      </c>
      <c r="AY10" s="12">
        <v>98635</v>
      </c>
      <c r="AZ10" s="12">
        <v>259915</v>
      </c>
      <c r="BA10" s="12">
        <v>34450</v>
      </c>
      <c r="BB10" s="12">
        <v>20730</v>
      </c>
      <c r="BC10" s="12">
        <v>134750</v>
      </c>
      <c r="BD10" s="12">
        <v>319390</v>
      </c>
      <c r="BE10" s="12">
        <v>11700</v>
      </c>
      <c r="BF10" s="12">
        <v>937290</v>
      </c>
      <c r="BG10" s="12">
        <v>108575</v>
      </c>
    </row>
    <row r="11" spans="1:59">
      <c r="A11" s="1" t="s">
        <v>10</v>
      </c>
      <c r="B11" s="1">
        <v>315</v>
      </c>
      <c r="C11" s="1">
        <v>105</v>
      </c>
      <c r="D11" s="1">
        <v>315</v>
      </c>
      <c r="E11" s="6">
        <v>1080</v>
      </c>
      <c r="F11" s="1">
        <v>225</v>
      </c>
      <c r="G11" s="6">
        <v>17720</v>
      </c>
      <c r="H11" s="6">
        <v>1280</v>
      </c>
      <c r="I11" s="1">
        <v>585</v>
      </c>
      <c r="J11" s="6">
        <v>64775</v>
      </c>
      <c r="K11" s="6">
        <v>3500</v>
      </c>
      <c r="L11" s="1">
        <v>165</v>
      </c>
      <c r="M11" s="6">
        <v>38380</v>
      </c>
      <c r="N11" s="1">
        <v>940</v>
      </c>
      <c r="O11" s="1">
        <v>0</v>
      </c>
      <c r="P11" s="1">
        <v>105</v>
      </c>
      <c r="Q11" s="1">
        <v>430</v>
      </c>
      <c r="R11" s="6">
        <v>3070</v>
      </c>
      <c r="S11" s="6">
        <v>1095</v>
      </c>
      <c r="T11" s="1">
        <v>170</v>
      </c>
      <c r="U11" s="1">
        <v>675</v>
      </c>
      <c r="V11" s="6">
        <v>18710</v>
      </c>
      <c r="W11" s="1">
        <v>110</v>
      </c>
      <c r="X11" s="6">
        <v>25780</v>
      </c>
      <c r="Y11" s="6">
        <v>2055</v>
      </c>
      <c r="Z11" s="6">
        <v>35175</v>
      </c>
      <c r="AA11" s="6">
        <v>12790</v>
      </c>
      <c r="AB11" s="6">
        <v>7825</v>
      </c>
      <c r="AC11" s="6">
        <v>28400</v>
      </c>
      <c r="AD11" s="6">
        <v>4615</v>
      </c>
      <c r="AE11" s="1">
        <v>250</v>
      </c>
      <c r="AF11" s="6">
        <v>62580</v>
      </c>
      <c r="AG11" s="6">
        <v>3899080</v>
      </c>
      <c r="AH11" s="12">
        <v>12091655</v>
      </c>
      <c r="AI11" s="12">
        <v>1440</v>
      </c>
      <c r="AJ11" s="3">
        <v>215</v>
      </c>
      <c r="AK11" s="12">
        <v>1035</v>
      </c>
      <c r="AL11" s="12">
        <v>4770</v>
      </c>
      <c r="AM11" s="3">
        <v>565</v>
      </c>
      <c r="AN11" s="12">
        <v>1910</v>
      </c>
      <c r="AO11" s="3">
        <v>670</v>
      </c>
      <c r="AP11" s="12">
        <v>3930</v>
      </c>
      <c r="AQ11" s="3">
        <v>140</v>
      </c>
      <c r="AR11" s="3">
        <v>370</v>
      </c>
      <c r="AS11" s="12">
        <v>1705</v>
      </c>
      <c r="AT11" s="3">
        <v>490</v>
      </c>
      <c r="AU11" s="12">
        <v>5875</v>
      </c>
      <c r="AV11" s="12">
        <v>13695</v>
      </c>
      <c r="AW11" s="12">
        <v>12065</v>
      </c>
      <c r="AX11" s="12">
        <v>208015</v>
      </c>
      <c r="AY11" s="12">
        <v>84855</v>
      </c>
      <c r="AZ11" s="12">
        <v>277620</v>
      </c>
      <c r="BA11" s="12">
        <v>40985</v>
      </c>
      <c r="BB11" s="12">
        <v>22045</v>
      </c>
      <c r="BC11" s="12">
        <v>180600</v>
      </c>
      <c r="BD11" s="12">
        <v>187060</v>
      </c>
      <c r="BE11" s="12">
        <v>7210</v>
      </c>
      <c r="BF11" s="12">
        <v>552280</v>
      </c>
      <c r="BG11" s="12">
        <v>160550</v>
      </c>
    </row>
    <row r="12" spans="1:59">
      <c r="A12" s="1" t="s">
        <v>13</v>
      </c>
      <c r="B12" s="1">
        <v>75</v>
      </c>
      <c r="C12" s="1">
        <v>0</v>
      </c>
      <c r="D12" s="1">
        <v>4</v>
      </c>
      <c r="E12" s="1">
        <v>135</v>
      </c>
      <c r="F12" s="1">
        <v>45</v>
      </c>
      <c r="G12" s="6">
        <v>3820</v>
      </c>
      <c r="H12" s="1">
        <v>225</v>
      </c>
      <c r="I12" s="1">
        <v>85</v>
      </c>
      <c r="J12" s="6">
        <v>10345</v>
      </c>
      <c r="K12" s="1">
        <v>440</v>
      </c>
      <c r="L12" s="1">
        <v>45</v>
      </c>
      <c r="M12" s="6">
        <v>2705</v>
      </c>
      <c r="N12" s="1">
        <v>35</v>
      </c>
      <c r="O12" s="1">
        <v>0</v>
      </c>
      <c r="P12" s="1">
        <v>20</v>
      </c>
      <c r="Q12" s="1">
        <v>35</v>
      </c>
      <c r="R12" s="1">
        <v>900</v>
      </c>
      <c r="S12" s="1">
        <v>210</v>
      </c>
      <c r="T12" s="1">
        <v>0</v>
      </c>
      <c r="U12" s="1">
        <v>65</v>
      </c>
      <c r="V12" s="6">
        <v>3315</v>
      </c>
      <c r="W12" s="1">
        <v>30</v>
      </c>
      <c r="X12" s="6">
        <v>4365</v>
      </c>
      <c r="Y12" s="1">
        <v>320</v>
      </c>
      <c r="Z12" s="6">
        <v>9280</v>
      </c>
      <c r="AA12" s="6">
        <v>2100</v>
      </c>
      <c r="AB12" s="6">
        <v>1640</v>
      </c>
      <c r="AC12" s="6">
        <v>4830</v>
      </c>
      <c r="AD12" s="6">
        <v>1160</v>
      </c>
      <c r="AE12" s="1">
        <v>185</v>
      </c>
      <c r="AF12" s="6">
        <v>8205</v>
      </c>
      <c r="AG12" s="6">
        <v>445405</v>
      </c>
      <c r="AH12" s="12">
        <v>454585</v>
      </c>
      <c r="AI12" s="3">
        <v>100</v>
      </c>
      <c r="AJ12" s="3">
        <v>10</v>
      </c>
      <c r="AK12" s="3">
        <v>0</v>
      </c>
      <c r="AL12" s="3">
        <v>195</v>
      </c>
      <c r="AM12" s="3">
        <v>4</v>
      </c>
      <c r="AN12" s="3">
        <v>50</v>
      </c>
      <c r="AO12" s="3">
        <v>45</v>
      </c>
      <c r="AP12" s="3">
        <v>115</v>
      </c>
      <c r="AQ12" s="3">
        <v>0</v>
      </c>
      <c r="AR12" s="3">
        <v>25</v>
      </c>
      <c r="AS12" s="3">
        <v>45</v>
      </c>
      <c r="AT12" s="3">
        <v>0</v>
      </c>
      <c r="AU12" s="3">
        <v>260</v>
      </c>
      <c r="AV12" s="3">
        <v>705</v>
      </c>
      <c r="AW12" s="3">
        <v>170</v>
      </c>
      <c r="AX12" s="12">
        <v>13175</v>
      </c>
      <c r="AY12" s="12">
        <v>3780</v>
      </c>
      <c r="AZ12" s="12">
        <v>11565</v>
      </c>
      <c r="BA12" s="12">
        <v>1900</v>
      </c>
      <c r="BB12" s="12">
        <v>1090</v>
      </c>
      <c r="BC12" s="12">
        <v>7795</v>
      </c>
      <c r="BD12" s="12">
        <v>10910</v>
      </c>
      <c r="BE12" s="3">
        <v>340</v>
      </c>
      <c r="BF12" s="12">
        <v>26945</v>
      </c>
      <c r="BG12" s="12">
        <v>4285</v>
      </c>
    </row>
    <row r="13" spans="1:59">
      <c r="A13" s="7" t="s">
        <v>6</v>
      </c>
      <c r="B13">
        <f>SUM(B6:B12)</f>
        <v>1375</v>
      </c>
      <c r="C13">
        <f t="shared" ref="C13:BG13" si="1">SUM(C6:C12)</f>
        <v>145</v>
      </c>
      <c r="D13">
        <f t="shared" si="1"/>
        <v>1094</v>
      </c>
      <c r="E13">
        <f t="shared" si="1"/>
        <v>3954</v>
      </c>
      <c r="F13">
        <f t="shared" si="1"/>
        <v>1195</v>
      </c>
      <c r="G13">
        <f t="shared" si="1"/>
        <v>114335</v>
      </c>
      <c r="H13">
        <f t="shared" si="1"/>
        <v>3695</v>
      </c>
      <c r="I13">
        <f t="shared" si="1"/>
        <v>2765</v>
      </c>
      <c r="J13">
        <f t="shared" si="1"/>
        <v>330845</v>
      </c>
      <c r="K13">
        <f t="shared" si="1"/>
        <v>14510</v>
      </c>
      <c r="L13">
        <f t="shared" si="1"/>
        <v>895</v>
      </c>
      <c r="M13">
        <f t="shared" si="1"/>
        <v>125900</v>
      </c>
      <c r="N13">
        <f t="shared" si="1"/>
        <v>3535</v>
      </c>
      <c r="O13">
        <f t="shared" si="1"/>
        <v>80</v>
      </c>
      <c r="P13">
        <f t="shared" si="1"/>
        <v>305</v>
      </c>
      <c r="Q13">
        <f t="shared" si="1"/>
        <v>1605</v>
      </c>
      <c r="R13">
        <f t="shared" si="1"/>
        <v>15365</v>
      </c>
      <c r="S13">
        <f t="shared" si="1"/>
        <v>5759</v>
      </c>
      <c r="T13">
        <f t="shared" si="1"/>
        <v>715</v>
      </c>
      <c r="U13">
        <f t="shared" si="1"/>
        <v>4760</v>
      </c>
      <c r="V13">
        <f t="shared" si="1"/>
        <v>85680</v>
      </c>
      <c r="W13">
        <f t="shared" si="1"/>
        <v>315</v>
      </c>
      <c r="X13">
        <f t="shared" si="1"/>
        <v>126680</v>
      </c>
      <c r="Y13">
        <f t="shared" si="1"/>
        <v>9155</v>
      </c>
      <c r="Z13">
        <f t="shared" si="1"/>
        <v>297895</v>
      </c>
      <c r="AA13">
        <f t="shared" si="1"/>
        <v>56905</v>
      </c>
      <c r="AB13">
        <f t="shared" si="1"/>
        <v>38280</v>
      </c>
      <c r="AC13">
        <f t="shared" si="1"/>
        <v>172240</v>
      </c>
      <c r="AD13">
        <f t="shared" si="1"/>
        <v>25765</v>
      </c>
      <c r="AE13">
        <f t="shared" si="1"/>
        <v>1009</v>
      </c>
      <c r="AF13">
        <f t="shared" si="1"/>
        <v>208695</v>
      </c>
      <c r="AG13">
        <f t="shared" si="1"/>
        <v>14416720</v>
      </c>
      <c r="AH13">
        <f t="shared" si="1"/>
        <v>24569305</v>
      </c>
      <c r="AI13">
        <f t="shared" si="1"/>
        <v>3275</v>
      </c>
      <c r="AJ13">
        <f t="shared" si="1"/>
        <v>465</v>
      </c>
      <c r="AK13">
        <f t="shared" si="1"/>
        <v>1905</v>
      </c>
      <c r="AL13">
        <f t="shared" si="1"/>
        <v>9070</v>
      </c>
      <c r="AM13">
        <f t="shared" si="1"/>
        <v>1379</v>
      </c>
      <c r="AN13">
        <f t="shared" si="1"/>
        <v>4069</v>
      </c>
      <c r="AO13">
        <f t="shared" si="1"/>
        <v>1590</v>
      </c>
      <c r="AP13">
        <f t="shared" si="1"/>
        <v>8695</v>
      </c>
      <c r="AQ13">
        <f t="shared" si="1"/>
        <v>400</v>
      </c>
      <c r="AR13">
        <f t="shared" si="1"/>
        <v>815</v>
      </c>
      <c r="AS13">
        <f t="shared" si="1"/>
        <v>3550</v>
      </c>
      <c r="AT13">
        <f t="shared" si="1"/>
        <v>905</v>
      </c>
      <c r="AU13">
        <f t="shared" si="1"/>
        <v>12930</v>
      </c>
      <c r="AV13">
        <f t="shared" si="1"/>
        <v>29230</v>
      </c>
      <c r="AW13">
        <f t="shared" si="1"/>
        <v>23660</v>
      </c>
      <c r="AX13">
        <f t="shared" si="1"/>
        <v>561360</v>
      </c>
      <c r="AY13">
        <f t="shared" si="1"/>
        <v>198760</v>
      </c>
      <c r="AZ13">
        <f t="shared" si="1"/>
        <v>597000</v>
      </c>
      <c r="BA13">
        <f t="shared" si="1"/>
        <v>86015</v>
      </c>
      <c r="BB13">
        <f t="shared" si="1"/>
        <v>48330</v>
      </c>
      <c r="BC13">
        <f t="shared" si="1"/>
        <v>345550</v>
      </c>
      <c r="BD13">
        <f t="shared" si="1"/>
        <v>568975</v>
      </c>
      <c r="BE13">
        <f t="shared" si="1"/>
        <v>21675</v>
      </c>
      <c r="BF13">
        <f t="shared" si="1"/>
        <v>1598285</v>
      </c>
      <c r="BG13">
        <f t="shared" si="1"/>
        <v>295400</v>
      </c>
    </row>
    <row r="14" spans="1:59">
      <c r="A14" s="7" t="s">
        <v>20</v>
      </c>
      <c r="B14" s="14">
        <f>B13+B3</f>
        <v>4385</v>
      </c>
      <c r="C14" s="14">
        <f t="shared" ref="C14:BG14" si="2">C13+C3</f>
        <v>510</v>
      </c>
      <c r="D14" s="14">
        <f t="shared" si="2"/>
        <v>2499</v>
      </c>
      <c r="E14" s="14">
        <f t="shared" si="2"/>
        <v>9689</v>
      </c>
      <c r="F14" s="14">
        <f t="shared" si="2"/>
        <v>3920</v>
      </c>
      <c r="G14" s="14">
        <f t="shared" si="2"/>
        <v>125585</v>
      </c>
      <c r="H14" s="14">
        <f t="shared" si="2"/>
        <v>6810</v>
      </c>
      <c r="I14" s="14">
        <f t="shared" si="2"/>
        <v>8335</v>
      </c>
      <c r="J14" s="14">
        <f t="shared" si="2"/>
        <v>390520</v>
      </c>
      <c r="K14" s="14">
        <f t="shared" si="2"/>
        <v>24440</v>
      </c>
      <c r="L14" s="14">
        <f t="shared" si="2"/>
        <v>1970</v>
      </c>
      <c r="M14" s="14">
        <f t="shared" si="2"/>
        <v>160585</v>
      </c>
      <c r="N14" s="14">
        <f t="shared" si="2"/>
        <v>8115</v>
      </c>
      <c r="O14" s="14">
        <f t="shared" si="2"/>
        <v>170</v>
      </c>
      <c r="P14" s="14">
        <f t="shared" si="2"/>
        <v>1200</v>
      </c>
      <c r="Q14" s="14">
        <f t="shared" si="2"/>
        <v>3795</v>
      </c>
      <c r="R14" s="14">
        <f t="shared" si="2"/>
        <v>16975</v>
      </c>
      <c r="S14" s="14">
        <f t="shared" si="2"/>
        <v>17299</v>
      </c>
      <c r="T14" s="14">
        <f t="shared" si="2"/>
        <v>1190</v>
      </c>
      <c r="U14" s="14">
        <f t="shared" si="2"/>
        <v>8065</v>
      </c>
      <c r="V14" s="14">
        <f t="shared" si="2"/>
        <v>115600</v>
      </c>
      <c r="W14" s="14">
        <f t="shared" si="2"/>
        <v>795</v>
      </c>
      <c r="X14" s="14">
        <f t="shared" si="2"/>
        <v>143230</v>
      </c>
      <c r="Y14" s="14">
        <f t="shared" si="2"/>
        <v>12555</v>
      </c>
      <c r="Z14" s="14">
        <f t="shared" si="2"/>
        <v>481785</v>
      </c>
      <c r="AA14" s="14">
        <f t="shared" si="2"/>
        <v>68235</v>
      </c>
      <c r="AB14" s="14">
        <f t="shared" si="2"/>
        <v>41285</v>
      </c>
      <c r="AC14" s="14">
        <f t="shared" si="2"/>
        <v>187005</v>
      </c>
      <c r="AD14" s="14">
        <f t="shared" si="2"/>
        <v>29710</v>
      </c>
      <c r="AE14" s="14">
        <f t="shared" si="2"/>
        <v>1304</v>
      </c>
      <c r="AF14" s="14">
        <f t="shared" si="2"/>
        <v>232880</v>
      </c>
      <c r="AG14" s="14">
        <f t="shared" si="2"/>
        <v>17964805</v>
      </c>
      <c r="AH14" s="14">
        <f t="shared" si="2"/>
        <v>29010790</v>
      </c>
      <c r="AI14" s="14">
        <f t="shared" si="2"/>
        <v>5685</v>
      </c>
      <c r="AJ14" s="14">
        <f t="shared" si="2"/>
        <v>1130</v>
      </c>
      <c r="AK14" s="14">
        <f t="shared" si="2"/>
        <v>4035</v>
      </c>
      <c r="AL14" s="14">
        <f t="shared" si="2"/>
        <v>15555</v>
      </c>
      <c r="AM14" s="14">
        <f t="shared" si="2"/>
        <v>4764</v>
      </c>
      <c r="AN14" s="14">
        <f t="shared" si="2"/>
        <v>9954</v>
      </c>
      <c r="AO14" s="14">
        <f t="shared" si="2"/>
        <v>2660</v>
      </c>
      <c r="AP14" s="14">
        <f t="shared" si="2"/>
        <v>15415</v>
      </c>
      <c r="AQ14" s="14">
        <f t="shared" si="2"/>
        <v>590</v>
      </c>
      <c r="AR14" s="14">
        <f t="shared" si="2"/>
        <v>1825</v>
      </c>
      <c r="AS14" s="14">
        <f t="shared" si="2"/>
        <v>7745</v>
      </c>
      <c r="AT14" s="14">
        <f t="shared" si="2"/>
        <v>1640</v>
      </c>
      <c r="AU14" s="14">
        <f t="shared" si="2"/>
        <v>30970</v>
      </c>
      <c r="AV14" s="14">
        <f t="shared" si="2"/>
        <v>41185</v>
      </c>
      <c r="AW14" s="14">
        <f t="shared" si="2"/>
        <v>28730</v>
      </c>
      <c r="AX14" s="14">
        <f t="shared" si="2"/>
        <v>607925</v>
      </c>
      <c r="AY14" s="14">
        <f t="shared" si="2"/>
        <v>218885</v>
      </c>
      <c r="AZ14" s="14">
        <f t="shared" si="2"/>
        <v>678375</v>
      </c>
      <c r="BA14" s="14">
        <f t="shared" si="2"/>
        <v>101040</v>
      </c>
      <c r="BB14" s="14">
        <f t="shared" si="2"/>
        <v>54285</v>
      </c>
      <c r="BC14" s="14">
        <f t="shared" si="2"/>
        <v>386990</v>
      </c>
      <c r="BD14" s="14">
        <f t="shared" si="2"/>
        <v>805850</v>
      </c>
      <c r="BE14" s="14">
        <f t="shared" si="2"/>
        <v>30730</v>
      </c>
      <c r="BF14" s="14">
        <f t="shared" si="2"/>
        <v>1774910</v>
      </c>
      <c r="BG14" s="14">
        <f t="shared" si="2"/>
        <v>492690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9E9C-5A9D-46E8-84E8-4C1F7A42231C}">
  <dimension ref="A1:P61"/>
  <sheetViews>
    <sheetView tabSelected="1" workbookViewId="0">
      <selection activeCell="S10" sqref="S10"/>
    </sheetView>
  </sheetViews>
  <sheetFormatPr defaultRowHeight="15"/>
  <sheetData>
    <row r="1" spans="1:16">
      <c r="A1" t="s">
        <v>81</v>
      </c>
      <c r="B1" s="15" t="s">
        <v>8</v>
      </c>
      <c r="C1" s="16" t="s">
        <v>11</v>
      </c>
      <c r="D1" s="16" t="s">
        <v>14</v>
      </c>
      <c r="E1" s="16" t="s">
        <v>7</v>
      </c>
      <c r="F1" s="16" t="s">
        <v>19</v>
      </c>
      <c r="G1" s="16" t="s">
        <v>15</v>
      </c>
      <c r="H1" s="16" t="s">
        <v>16</v>
      </c>
      <c r="I1" s="16" t="s">
        <v>17</v>
      </c>
      <c r="J1" s="16" t="s">
        <v>18</v>
      </c>
      <c r="K1" s="16" t="s">
        <v>12</v>
      </c>
      <c r="L1" s="16" t="s">
        <v>10</v>
      </c>
      <c r="M1" s="16" t="s">
        <v>13</v>
      </c>
      <c r="N1" s="16" t="s">
        <v>6</v>
      </c>
      <c r="O1" s="16" t="s">
        <v>20</v>
      </c>
    </row>
    <row r="2" spans="1:16">
      <c r="A2" t="s">
        <v>79</v>
      </c>
      <c r="B2" s="16" t="s">
        <v>50</v>
      </c>
      <c r="C2" s="19">
        <v>319025</v>
      </c>
      <c r="D2" s="19">
        <v>11250</v>
      </c>
      <c r="E2" s="19">
        <v>1480</v>
      </c>
      <c r="F2" s="19">
        <f>SUM(C2:E2)</f>
        <v>331755</v>
      </c>
      <c r="G2" s="16">
        <v>715</v>
      </c>
      <c r="H2" s="19">
        <v>1550</v>
      </c>
      <c r="I2" s="19">
        <v>2255</v>
      </c>
      <c r="J2" s="16">
        <v>540</v>
      </c>
      <c r="K2" s="19">
        <v>87735</v>
      </c>
      <c r="L2" s="19">
        <v>17720</v>
      </c>
      <c r="M2" s="19">
        <v>3820</v>
      </c>
      <c r="N2" s="18">
        <f>SUM(G2:M2)</f>
        <v>114335</v>
      </c>
      <c r="O2" s="21">
        <f>N2+D2</f>
        <v>125585</v>
      </c>
      <c r="P2" s="14">
        <f>SUM(C2:O2)</f>
        <v>1017765</v>
      </c>
    </row>
    <row r="3" spans="1:16">
      <c r="A3" t="s">
        <v>79</v>
      </c>
      <c r="B3" s="16" t="s">
        <v>39</v>
      </c>
      <c r="C3" s="19">
        <v>33755</v>
      </c>
      <c r="D3" s="19">
        <v>1610</v>
      </c>
      <c r="E3" s="16">
        <v>200</v>
      </c>
      <c r="F3" s="19">
        <f>SUM(C3:E3)</f>
        <v>35565</v>
      </c>
      <c r="G3" s="16">
        <v>75</v>
      </c>
      <c r="H3" s="16">
        <v>160</v>
      </c>
      <c r="I3" s="16">
        <v>340</v>
      </c>
      <c r="J3" s="16">
        <v>80</v>
      </c>
      <c r="K3" s="19">
        <v>10740</v>
      </c>
      <c r="L3" s="19">
        <v>3070</v>
      </c>
      <c r="M3" s="16">
        <v>900</v>
      </c>
      <c r="N3" s="18">
        <f>SUM(G3:M3)</f>
        <v>15365</v>
      </c>
      <c r="O3" s="21">
        <f>N3+D3</f>
        <v>16975</v>
      </c>
      <c r="P3" s="14">
        <f t="shared" ref="P3:P6" si="0">SUM(C3:O3)</f>
        <v>118835</v>
      </c>
    </row>
    <row r="4" spans="1:16">
      <c r="A4" t="s">
        <v>79</v>
      </c>
      <c r="B4" s="16" t="s">
        <v>32</v>
      </c>
      <c r="C4" s="19">
        <v>104605</v>
      </c>
      <c r="D4" s="19">
        <v>3400</v>
      </c>
      <c r="E4" s="16">
        <v>430</v>
      </c>
      <c r="F4" s="19">
        <f>SUM(C4:E4)</f>
        <v>108435</v>
      </c>
      <c r="G4" s="16">
        <v>35</v>
      </c>
      <c r="H4" s="16">
        <v>245</v>
      </c>
      <c r="I4" s="16">
        <v>500</v>
      </c>
      <c r="J4" s="16">
        <v>25</v>
      </c>
      <c r="K4" s="19">
        <v>5975</v>
      </c>
      <c r="L4" s="19">
        <v>2055</v>
      </c>
      <c r="M4" s="16">
        <v>320</v>
      </c>
      <c r="N4" s="18">
        <f>SUM(G4:M4)</f>
        <v>9155</v>
      </c>
      <c r="O4" s="21">
        <f>N4+D4</f>
        <v>12555</v>
      </c>
      <c r="P4" s="14">
        <f t="shared" si="0"/>
        <v>247735</v>
      </c>
    </row>
    <row r="5" spans="1:16">
      <c r="A5" t="s">
        <v>79</v>
      </c>
      <c r="B5" s="16" t="s">
        <v>29</v>
      </c>
      <c r="C5" s="19">
        <v>66700</v>
      </c>
      <c r="D5" s="19">
        <v>3005</v>
      </c>
      <c r="E5" s="16">
        <v>225</v>
      </c>
      <c r="F5" s="19">
        <f>SUM(C5:E5)</f>
        <v>69930</v>
      </c>
      <c r="G5" s="16">
        <v>165</v>
      </c>
      <c r="H5" s="16">
        <v>395</v>
      </c>
      <c r="I5" s="16">
        <v>430</v>
      </c>
      <c r="J5" s="16">
        <v>235</v>
      </c>
      <c r="K5" s="19">
        <v>27590</v>
      </c>
      <c r="L5" s="19">
        <v>7825</v>
      </c>
      <c r="M5" s="19">
        <v>1640</v>
      </c>
      <c r="N5" s="18">
        <f>SUM(G5:M5)</f>
        <v>38280</v>
      </c>
      <c r="O5" s="21">
        <f>N5+D5</f>
        <v>41285</v>
      </c>
      <c r="P5" s="14">
        <f t="shared" si="0"/>
        <v>257705</v>
      </c>
    </row>
    <row r="6" spans="1:16">
      <c r="A6" t="s">
        <v>79</v>
      </c>
      <c r="B6" s="16" t="s">
        <v>28</v>
      </c>
      <c r="C6" s="19">
        <v>388905</v>
      </c>
      <c r="D6" s="19">
        <v>14765</v>
      </c>
      <c r="E6" s="19">
        <v>1485</v>
      </c>
      <c r="F6" s="19">
        <f>SUM(C6:E6)</f>
        <v>405155</v>
      </c>
      <c r="G6" s="16">
        <v>645</v>
      </c>
      <c r="H6" s="19">
        <v>1945</v>
      </c>
      <c r="I6" s="19">
        <v>2660</v>
      </c>
      <c r="J6" s="19">
        <v>1240</v>
      </c>
      <c r="K6" s="19">
        <v>132520</v>
      </c>
      <c r="L6" s="19">
        <v>28400</v>
      </c>
      <c r="M6" s="19">
        <v>4830</v>
      </c>
      <c r="N6" s="18">
        <f>SUM(G6:M6)</f>
        <v>172240</v>
      </c>
      <c r="O6" s="21">
        <f>N6+D6</f>
        <v>187005</v>
      </c>
      <c r="P6" s="14">
        <f t="shared" si="0"/>
        <v>1341795</v>
      </c>
    </row>
    <row r="7" spans="1:16">
      <c r="B7" s="16"/>
      <c r="C7" s="19"/>
      <c r="D7" s="19"/>
      <c r="E7" s="19"/>
      <c r="F7" s="19"/>
      <c r="G7" s="16"/>
      <c r="H7" s="19"/>
      <c r="I7" s="19"/>
      <c r="J7" s="19"/>
      <c r="K7" s="19"/>
      <c r="L7" s="19"/>
      <c r="M7" s="19"/>
      <c r="N7" s="18"/>
      <c r="O7" s="21"/>
    </row>
    <row r="8" spans="1:16">
      <c r="A8" t="s">
        <v>80</v>
      </c>
      <c r="B8" s="17" t="s">
        <v>77</v>
      </c>
      <c r="C8" s="20">
        <v>44890</v>
      </c>
      <c r="D8" s="20">
        <v>18040</v>
      </c>
      <c r="E8" s="18"/>
      <c r="F8" s="19">
        <f>SUM(C8:E8)</f>
        <v>62930</v>
      </c>
      <c r="G8" s="17">
        <v>215</v>
      </c>
      <c r="H8" s="20">
        <v>1805</v>
      </c>
      <c r="I8" s="18"/>
      <c r="J8" s="18"/>
      <c r="K8" s="20">
        <v>4775</v>
      </c>
      <c r="L8" s="20">
        <v>5875</v>
      </c>
      <c r="M8" s="17">
        <v>260</v>
      </c>
      <c r="N8" s="18">
        <f>SUM(G8:M8)</f>
        <v>12930</v>
      </c>
      <c r="O8" s="21">
        <f>N8+D8</f>
        <v>30970</v>
      </c>
    </row>
    <row r="9" spans="1:16">
      <c r="A9" t="s">
        <v>80</v>
      </c>
      <c r="B9" s="17" t="s">
        <v>78</v>
      </c>
      <c r="C9" s="20">
        <v>75875</v>
      </c>
      <c r="D9" s="20">
        <v>11955</v>
      </c>
      <c r="E9" s="18"/>
      <c r="F9" s="19">
        <f>SUM(C9:E9)</f>
        <v>87830</v>
      </c>
      <c r="G9" s="17">
        <v>170</v>
      </c>
      <c r="H9" s="20">
        <v>2655</v>
      </c>
      <c r="I9" s="18"/>
      <c r="J9" s="18"/>
      <c r="K9" s="20">
        <v>12005</v>
      </c>
      <c r="L9" s="20">
        <v>13695</v>
      </c>
      <c r="M9" s="17">
        <v>705</v>
      </c>
      <c r="N9" s="18">
        <f>SUM(G9:M9)</f>
        <v>29230</v>
      </c>
      <c r="O9" s="21">
        <f>N9+D9</f>
        <v>41185</v>
      </c>
    </row>
    <row r="10" spans="1:16">
      <c r="A10" t="s">
        <v>79</v>
      </c>
      <c r="B10" s="16" t="s">
        <v>55</v>
      </c>
      <c r="C10" s="19">
        <v>11140</v>
      </c>
      <c r="D10" s="19">
        <v>3010</v>
      </c>
      <c r="E10" s="16">
        <v>110</v>
      </c>
      <c r="F10" s="19">
        <f>SUM(C10:E10)</f>
        <v>14260</v>
      </c>
      <c r="G10" s="16">
        <v>0</v>
      </c>
      <c r="H10" s="16">
        <v>25</v>
      </c>
      <c r="I10" s="16">
        <v>35</v>
      </c>
      <c r="J10" s="16">
        <v>85</v>
      </c>
      <c r="K10" s="16">
        <v>840</v>
      </c>
      <c r="L10" s="16">
        <v>315</v>
      </c>
      <c r="M10" s="16">
        <v>75</v>
      </c>
      <c r="N10" s="18">
        <f>SUM(G10:M10)</f>
        <v>1375</v>
      </c>
      <c r="O10" s="21">
        <f>N10+D10</f>
        <v>4385</v>
      </c>
    </row>
    <row r="11" spans="1:16">
      <c r="A11" t="s">
        <v>79</v>
      </c>
      <c r="B11" s="16" t="s">
        <v>43</v>
      </c>
      <c r="C11" s="19">
        <v>23845</v>
      </c>
      <c r="D11" s="19">
        <v>4580</v>
      </c>
      <c r="E11" s="16">
        <v>150</v>
      </c>
      <c r="F11" s="19">
        <f>SUM(C11:E11)</f>
        <v>28575</v>
      </c>
      <c r="G11" s="16">
        <v>65</v>
      </c>
      <c r="H11" s="16">
        <v>55</v>
      </c>
      <c r="I11" s="16">
        <v>140</v>
      </c>
      <c r="J11" s="16">
        <v>0</v>
      </c>
      <c r="K11" s="19">
        <v>2300</v>
      </c>
      <c r="L11" s="16">
        <v>940</v>
      </c>
      <c r="M11" s="16">
        <v>35</v>
      </c>
      <c r="N11" s="18">
        <f>SUM(G11:M11)</f>
        <v>3535</v>
      </c>
      <c r="O11" s="21">
        <f>N11+D11</f>
        <v>8115</v>
      </c>
    </row>
    <row r="12" spans="1:16">
      <c r="A12" t="s">
        <v>79</v>
      </c>
      <c r="B12" s="16" t="s">
        <v>42</v>
      </c>
      <c r="C12" s="16">
        <v>730</v>
      </c>
      <c r="D12" s="16">
        <v>90</v>
      </c>
      <c r="E12" s="16">
        <v>0</v>
      </c>
      <c r="F12" s="19">
        <f>SUM(C12:E12)</f>
        <v>820</v>
      </c>
      <c r="G12" s="16">
        <v>0</v>
      </c>
      <c r="H12" s="16">
        <v>0</v>
      </c>
      <c r="I12" s="16">
        <v>0</v>
      </c>
      <c r="J12" s="16">
        <v>0</v>
      </c>
      <c r="K12" s="16">
        <v>80</v>
      </c>
      <c r="L12" s="16">
        <v>0</v>
      </c>
      <c r="M12" s="16">
        <v>0</v>
      </c>
      <c r="N12" s="18">
        <f>SUM(G12:M12)</f>
        <v>80</v>
      </c>
      <c r="O12" s="21">
        <f>N12+D12</f>
        <v>170</v>
      </c>
    </row>
    <row r="13" spans="1:16">
      <c r="A13" t="s">
        <v>79</v>
      </c>
      <c r="B13" s="16" t="s">
        <v>41</v>
      </c>
      <c r="C13" s="19">
        <v>2560</v>
      </c>
      <c r="D13" s="16">
        <v>895</v>
      </c>
      <c r="E13" s="16">
        <v>55</v>
      </c>
      <c r="F13" s="19">
        <f>SUM(C13:E13)</f>
        <v>3510</v>
      </c>
      <c r="G13" s="16">
        <v>0</v>
      </c>
      <c r="H13" s="16">
        <v>0</v>
      </c>
      <c r="I13" s="16">
        <v>15</v>
      </c>
      <c r="J13" s="16">
        <v>0</v>
      </c>
      <c r="K13" s="16">
        <v>165</v>
      </c>
      <c r="L13" s="16">
        <v>105</v>
      </c>
      <c r="M13" s="16">
        <v>20</v>
      </c>
      <c r="N13" s="18">
        <f>SUM(G13:M13)</f>
        <v>305</v>
      </c>
      <c r="O13" s="21">
        <f>N13+D13</f>
        <v>1200</v>
      </c>
    </row>
    <row r="14" spans="1:16">
      <c r="A14" t="s">
        <v>79</v>
      </c>
      <c r="B14" s="16" t="s">
        <v>40</v>
      </c>
      <c r="C14" s="19">
        <v>12960</v>
      </c>
      <c r="D14" s="19">
        <v>2190</v>
      </c>
      <c r="E14" s="16">
        <v>85</v>
      </c>
      <c r="F14" s="19">
        <f>SUM(C14:E14)</f>
        <v>15235</v>
      </c>
      <c r="G14" s="16">
        <v>0</v>
      </c>
      <c r="H14" s="16">
        <v>40</v>
      </c>
      <c r="I14" s="16">
        <v>60</v>
      </c>
      <c r="J14" s="16">
        <v>30</v>
      </c>
      <c r="K14" s="19">
        <v>1010</v>
      </c>
      <c r="L14" s="16">
        <v>430</v>
      </c>
      <c r="M14" s="16">
        <v>35</v>
      </c>
      <c r="N14" s="18">
        <f>SUM(G14:M14)</f>
        <v>1605</v>
      </c>
      <c r="O14" s="21">
        <f>N14+D14</f>
        <v>3795</v>
      </c>
    </row>
    <row r="15" spans="1:16">
      <c r="A15" t="s">
        <v>79</v>
      </c>
      <c r="B15" s="16" t="s">
        <v>38</v>
      </c>
      <c r="C15" s="19">
        <v>35050</v>
      </c>
      <c r="D15" s="19">
        <v>11540</v>
      </c>
      <c r="E15" s="16">
        <v>330</v>
      </c>
      <c r="F15" s="19">
        <f>SUM(C15:E15)</f>
        <v>46920</v>
      </c>
      <c r="G15" s="16">
        <v>90</v>
      </c>
      <c r="H15" s="16">
        <v>40</v>
      </c>
      <c r="I15" s="16">
        <v>250</v>
      </c>
      <c r="J15" s="16">
        <v>4</v>
      </c>
      <c r="K15" s="19">
        <v>4070</v>
      </c>
      <c r="L15" s="19">
        <v>1095</v>
      </c>
      <c r="M15" s="16">
        <v>210</v>
      </c>
      <c r="N15" s="18">
        <f>SUM(G15:M15)</f>
        <v>5759</v>
      </c>
      <c r="O15" s="21">
        <f>N15+D15</f>
        <v>17299</v>
      </c>
    </row>
    <row r="16" spans="1:16">
      <c r="A16" t="s">
        <v>79</v>
      </c>
      <c r="B16" s="16" t="s">
        <v>34</v>
      </c>
      <c r="C16" s="19">
        <v>2015</v>
      </c>
      <c r="D16" s="16">
        <v>480</v>
      </c>
      <c r="E16" s="16">
        <v>20</v>
      </c>
      <c r="F16" s="19">
        <f>SUM(C16:E16)</f>
        <v>2515</v>
      </c>
      <c r="G16" s="16">
        <v>0</v>
      </c>
      <c r="H16" s="16">
        <v>0</v>
      </c>
      <c r="I16" s="16">
        <v>10</v>
      </c>
      <c r="J16" s="16">
        <v>0</v>
      </c>
      <c r="K16" s="16">
        <v>165</v>
      </c>
      <c r="L16" s="16">
        <v>110</v>
      </c>
      <c r="M16" s="16">
        <v>30</v>
      </c>
      <c r="N16" s="18">
        <f>SUM(G16:M16)</f>
        <v>315</v>
      </c>
      <c r="O16" s="21">
        <f>N16+D16</f>
        <v>795</v>
      </c>
    </row>
    <row r="17" spans="1:15">
      <c r="A17" t="s">
        <v>79</v>
      </c>
      <c r="B17" s="16" t="s">
        <v>26</v>
      </c>
      <c r="C17" s="19">
        <v>6325</v>
      </c>
      <c r="D17" s="16">
        <v>295</v>
      </c>
      <c r="E17" s="16">
        <v>0</v>
      </c>
      <c r="F17" s="19">
        <f>SUM(C17:E17)</f>
        <v>6620</v>
      </c>
      <c r="G17" s="16">
        <v>4</v>
      </c>
      <c r="H17" s="16">
        <v>0</v>
      </c>
      <c r="I17" s="16">
        <v>50</v>
      </c>
      <c r="J17" s="16">
        <v>0</v>
      </c>
      <c r="K17" s="16">
        <v>520</v>
      </c>
      <c r="L17" s="16">
        <v>250</v>
      </c>
      <c r="M17" s="16">
        <v>185</v>
      </c>
      <c r="N17" s="18">
        <f>SUM(G17:M17)</f>
        <v>1009</v>
      </c>
      <c r="O17" s="21">
        <f>N17+D17</f>
        <v>1304</v>
      </c>
    </row>
    <row r="18" spans="1:15">
      <c r="A18" t="s">
        <v>80</v>
      </c>
      <c r="B18" s="17" t="s">
        <v>24</v>
      </c>
      <c r="C18" s="19">
        <v>48484140</v>
      </c>
      <c r="D18" s="19">
        <v>3548085</v>
      </c>
      <c r="E18" s="19">
        <v>207365</v>
      </c>
      <c r="F18" s="19">
        <f>SUM(C18:E18)</f>
        <v>52239590</v>
      </c>
      <c r="G18" s="19">
        <v>111180</v>
      </c>
      <c r="H18" s="19">
        <v>172975</v>
      </c>
      <c r="I18" s="19">
        <v>304170</v>
      </c>
      <c r="J18" s="19">
        <v>64820</v>
      </c>
      <c r="K18" s="19">
        <v>9419090</v>
      </c>
      <c r="L18" s="19">
        <v>3899080</v>
      </c>
      <c r="M18" s="19">
        <v>445405</v>
      </c>
      <c r="N18" s="18">
        <f>SUM(G18:M18)</f>
        <v>14416720</v>
      </c>
      <c r="O18" s="21">
        <f>N18+D18</f>
        <v>17964805</v>
      </c>
    </row>
    <row r="19" spans="1:15">
      <c r="A19" t="s">
        <v>80</v>
      </c>
      <c r="B19" s="17" t="s">
        <v>23</v>
      </c>
      <c r="C19" s="20">
        <v>47886060</v>
      </c>
      <c r="D19" s="20">
        <v>4441485</v>
      </c>
      <c r="E19" s="18"/>
      <c r="F19" s="19">
        <f>SUM(C19:E19)</f>
        <v>52327545</v>
      </c>
      <c r="G19" s="20">
        <v>129895</v>
      </c>
      <c r="H19" s="20">
        <v>1644630</v>
      </c>
      <c r="I19" s="18"/>
      <c r="J19" s="18"/>
      <c r="K19" s="20">
        <v>10248540</v>
      </c>
      <c r="L19" s="20">
        <v>12091655</v>
      </c>
      <c r="M19" s="20">
        <v>454585</v>
      </c>
      <c r="N19" s="18">
        <f>SUM(G19:M19)</f>
        <v>24569305</v>
      </c>
      <c r="O19" s="21">
        <f>N19+D19</f>
        <v>29010790</v>
      </c>
    </row>
    <row r="20" spans="1:15">
      <c r="A20" t="s">
        <v>80</v>
      </c>
      <c r="B20" s="17" t="s">
        <v>22</v>
      </c>
      <c r="C20" s="20">
        <v>10645</v>
      </c>
      <c r="D20" s="20">
        <v>2410</v>
      </c>
      <c r="E20" s="18"/>
      <c r="F20" s="19">
        <f>SUM(C20:E20)</f>
        <v>13055</v>
      </c>
      <c r="G20" s="17">
        <v>25</v>
      </c>
      <c r="H20" s="17">
        <v>525</v>
      </c>
      <c r="I20" s="18"/>
      <c r="J20" s="18"/>
      <c r="K20" s="20">
        <v>1185</v>
      </c>
      <c r="L20" s="20">
        <v>1440</v>
      </c>
      <c r="M20" s="17">
        <v>100</v>
      </c>
      <c r="N20" s="18">
        <f>SUM(G20:M20)</f>
        <v>3275</v>
      </c>
      <c r="O20" s="21">
        <f>N20+D20</f>
        <v>5685</v>
      </c>
    </row>
    <row r="21" spans="1:15">
      <c r="A21" t="s">
        <v>79</v>
      </c>
      <c r="B21" s="16" t="s">
        <v>54</v>
      </c>
      <c r="C21" s="19">
        <v>1680</v>
      </c>
      <c r="D21" s="16">
        <v>365</v>
      </c>
      <c r="E21" s="16">
        <v>25</v>
      </c>
      <c r="F21" s="19">
        <f>SUM(C21:E21)</f>
        <v>2070</v>
      </c>
      <c r="G21" s="16">
        <v>0</v>
      </c>
      <c r="H21" s="16">
        <v>0</v>
      </c>
      <c r="I21" s="16">
        <v>0</v>
      </c>
      <c r="J21" s="16">
        <v>0</v>
      </c>
      <c r="K21" s="16">
        <v>40</v>
      </c>
      <c r="L21" s="16">
        <v>105</v>
      </c>
      <c r="M21" s="16">
        <v>0</v>
      </c>
      <c r="N21" s="18">
        <f>SUM(G21:M21)</f>
        <v>145</v>
      </c>
      <c r="O21" s="21">
        <f>N21+D21</f>
        <v>510</v>
      </c>
    </row>
    <row r="22" spans="1:15">
      <c r="A22" t="s">
        <v>80</v>
      </c>
      <c r="B22" s="17" t="s">
        <v>21</v>
      </c>
      <c r="C22" s="20">
        <v>1795</v>
      </c>
      <c r="D22" s="17">
        <v>665</v>
      </c>
      <c r="E22" s="18"/>
      <c r="F22" s="19">
        <f>SUM(C22:E22)</f>
        <v>2460</v>
      </c>
      <c r="G22" s="17">
        <v>0</v>
      </c>
      <c r="H22" s="17">
        <v>70</v>
      </c>
      <c r="I22" s="18"/>
      <c r="J22" s="18"/>
      <c r="K22" s="17">
        <v>170</v>
      </c>
      <c r="L22" s="17">
        <v>215</v>
      </c>
      <c r="M22" s="17">
        <v>10</v>
      </c>
      <c r="N22" s="18">
        <f>SUM(G22:M22)</f>
        <v>465</v>
      </c>
      <c r="O22" s="21">
        <f>N22+D22</f>
        <v>1130</v>
      </c>
    </row>
    <row r="23" spans="1:15">
      <c r="A23" t="s">
        <v>80</v>
      </c>
      <c r="B23" s="17" t="s">
        <v>56</v>
      </c>
      <c r="C23" s="20">
        <v>7360</v>
      </c>
      <c r="D23" s="20">
        <v>2130</v>
      </c>
      <c r="E23" s="18"/>
      <c r="F23" s="19">
        <f>SUM(C23:E23)</f>
        <v>9490</v>
      </c>
      <c r="G23" s="17">
        <v>0</v>
      </c>
      <c r="H23" s="17">
        <v>280</v>
      </c>
      <c r="I23" s="18"/>
      <c r="J23" s="18"/>
      <c r="K23" s="17">
        <v>590</v>
      </c>
      <c r="L23" s="20">
        <v>1035</v>
      </c>
      <c r="M23" s="17">
        <v>0</v>
      </c>
      <c r="N23" s="18">
        <f>SUM(G23:M23)</f>
        <v>1905</v>
      </c>
      <c r="O23" s="21">
        <f>N23+D23</f>
        <v>4035</v>
      </c>
    </row>
    <row r="24" spans="1:15">
      <c r="A24" t="s">
        <v>80</v>
      </c>
      <c r="B24" s="17" t="s">
        <v>57</v>
      </c>
      <c r="C24" s="20">
        <v>33525</v>
      </c>
      <c r="D24" s="20">
        <v>6485</v>
      </c>
      <c r="E24" s="18"/>
      <c r="F24" s="19">
        <f>SUM(C24:E24)</f>
        <v>40010</v>
      </c>
      <c r="G24" s="17">
        <v>65</v>
      </c>
      <c r="H24" s="20">
        <v>1250</v>
      </c>
      <c r="I24" s="18"/>
      <c r="J24" s="18"/>
      <c r="K24" s="20">
        <v>2790</v>
      </c>
      <c r="L24" s="20">
        <v>4770</v>
      </c>
      <c r="M24" s="17">
        <v>195</v>
      </c>
      <c r="N24" s="18">
        <f>SUM(G24:M24)</f>
        <v>9070</v>
      </c>
      <c r="O24" s="21">
        <f>N24+D24</f>
        <v>15555</v>
      </c>
    </row>
    <row r="25" spans="1:15">
      <c r="A25" t="s">
        <v>80</v>
      </c>
      <c r="B25" s="17" t="s">
        <v>58</v>
      </c>
      <c r="C25" s="20">
        <v>3550</v>
      </c>
      <c r="D25" s="20">
        <v>3385</v>
      </c>
      <c r="E25" s="18"/>
      <c r="F25" s="19">
        <f>SUM(C25:E25)</f>
        <v>6935</v>
      </c>
      <c r="G25" s="17">
        <v>30</v>
      </c>
      <c r="H25" s="17">
        <v>145</v>
      </c>
      <c r="I25" s="18"/>
      <c r="J25" s="18"/>
      <c r="K25" s="17">
        <v>635</v>
      </c>
      <c r="L25" s="17">
        <v>565</v>
      </c>
      <c r="M25" s="17">
        <v>4</v>
      </c>
      <c r="N25" s="18">
        <f>SUM(G25:M25)</f>
        <v>1379</v>
      </c>
      <c r="O25" s="21">
        <f>N25+D25</f>
        <v>4764</v>
      </c>
    </row>
    <row r="26" spans="1:15">
      <c r="A26" t="s">
        <v>80</v>
      </c>
      <c r="B26" s="17" t="s">
        <v>59</v>
      </c>
      <c r="C26" s="20">
        <v>10685</v>
      </c>
      <c r="D26" s="20">
        <v>5885</v>
      </c>
      <c r="E26" s="18"/>
      <c r="F26" s="19">
        <f>SUM(C26:E26)</f>
        <v>16570</v>
      </c>
      <c r="G26" s="17">
        <v>4</v>
      </c>
      <c r="H26" s="17">
        <v>395</v>
      </c>
      <c r="I26" s="18"/>
      <c r="J26" s="18"/>
      <c r="K26" s="20">
        <v>1710</v>
      </c>
      <c r="L26" s="20">
        <v>1910</v>
      </c>
      <c r="M26" s="17">
        <v>50</v>
      </c>
      <c r="N26" s="18">
        <f>SUM(G26:M26)</f>
        <v>4069</v>
      </c>
      <c r="O26" s="21">
        <f>N26+D26</f>
        <v>9954</v>
      </c>
    </row>
    <row r="27" spans="1:15">
      <c r="A27" t="s">
        <v>80</v>
      </c>
      <c r="B27" s="17" t="s">
        <v>60</v>
      </c>
      <c r="C27" s="20">
        <v>6280</v>
      </c>
      <c r="D27" s="20">
        <v>1070</v>
      </c>
      <c r="E27" s="18"/>
      <c r="F27" s="19">
        <f>SUM(C27:E27)</f>
        <v>7350</v>
      </c>
      <c r="G27" s="17">
        <v>15</v>
      </c>
      <c r="H27" s="17">
        <v>185</v>
      </c>
      <c r="I27" s="18"/>
      <c r="J27" s="18"/>
      <c r="K27" s="17">
        <v>675</v>
      </c>
      <c r="L27" s="17">
        <v>670</v>
      </c>
      <c r="M27" s="17">
        <v>45</v>
      </c>
      <c r="N27" s="18">
        <f>SUM(G27:M27)</f>
        <v>1590</v>
      </c>
      <c r="O27" s="21">
        <f>N27+D27</f>
        <v>2660</v>
      </c>
    </row>
    <row r="28" spans="1:15">
      <c r="A28" t="s">
        <v>80</v>
      </c>
      <c r="B28" s="17" t="s">
        <v>61</v>
      </c>
      <c r="C28" s="20">
        <v>27745</v>
      </c>
      <c r="D28" s="20">
        <v>6720</v>
      </c>
      <c r="E28" s="18"/>
      <c r="F28" s="19">
        <f>SUM(C28:E28)</f>
        <v>34465</v>
      </c>
      <c r="G28" s="17">
        <v>70</v>
      </c>
      <c r="H28" s="20">
        <v>1065</v>
      </c>
      <c r="I28" s="18"/>
      <c r="J28" s="18"/>
      <c r="K28" s="20">
        <v>3515</v>
      </c>
      <c r="L28" s="20">
        <v>3930</v>
      </c>
      <c r="M28" s="17">
        <v>115</v>
      </c>
      <c r="N28" s="18">
        <f>SUM(G28:M28)</f>
        <v>8695</v>
      </c>
      <c r="O28" s="21">
        <f>N28+D28</f>
        <v>15415</v>
      </c>
    </row>
    <row r="29" spans="1:15">
      <c r="A29" t="s">
        <v>80</v>
      </c>
      <c r="B29" s="17" t="s">
        <v>62</v>
      </c>
      <c r="C29" s="17">
        <v>835</v>
      </c>
      <c r="D29" s="17">
        <v>190</v>
      </c>
      <c r="E29" s="18"/>
      <c r="F29" s="19">
        <f>SUM(C29:E29)</f>
        <v>1025</v>
      </c>
      <c r="G29" s="17">
        <v>15</v>
      </c>
      <c r="H29" s="17">
        <v>25</v>
      </c>
      <c r="I29" s="18"/>
      <c r="J29" s="18"/>
      <c r="K29" s="17">
        <v>220</v>
      </c>
      <c r="L29" s="17">
        <v>140</v>
      </c>
      <c r="M29" s="17">
        <v>0</v>
      </c>
      <c r="N29" s="18">
        <f>SUM(G29:M29)</f>
        <v>400</v>
      </c>
      <c r="O29" s="21">
        <f>N29+D29</f>
        <v>590</v>
      </c>
    </row>
    <row r="30" spans="1:15">
      <c r="A30" t="s">
        <v>80</v>
      </c>
      <c r="B30" s="17" t="s">
        <v>63</v>
      </c>
      <c r="C30" s="20">
        <v>2910</v>
      </c>
      <c r="D30" s="20">
        <v>1010</v>
      </c>
      <c r="E30" s="18"/>
      <c r="F30" s="19">
        <f>SUM(C30:E30)</f>
        <v>3920</v>
      </c>
      <c r="G30" s="17">
        <v>0</v>
      </c>
      <c r="H30" s="17">
        <v>70</v>
      </c>
      <c r="I30" s="18"/>
      <c r="J30" s="18"/>
      <c r="K30" s="17">
        <v>350</v>
      </c>
      <c r="L30" s="17">
        <v>370</v>
      </c>
      <c r="M30" s="17">
        <v>25</v>
      </c>
      <c r="N30" s="18">
        <f>SUM(G30:M30)</f>
        <v>815</v>
      </c>
      <c r="O30" s="21">
        <f>N30+D30</f>
        <v>1825</v>
      </c>
    </row>
    <row r="31" spans="1:15">
      <c r="A31" t="s">
        <v>80</v>
      </c>
      <c r="B31" s="17" t="s">
        <v>64</v>
      </c>
      <c r="C31" s="20">
        <v>15150</v>
      </c>
      <c r="D31" s="20">
        <v>4195</v>
      </c>
      <c r="E31" s="18"/>
      <c r="F31" s="19">
        <f>SUM(C31:E31)</f>
        <v>19345</v>
      </c>
      <c r="G31" s="17">
        <v>15</v>
      </c>
      <c r="H31" s="17">
        <v>595</v>
      </c>
      <c r="I31" s="18"/>
      <c r="J31" s="18"/>
      <c r="K31" s="20">
        <v>1190</v>
      </c>
      <c r="L31" s="20">
        <v>1705</v>
      </c>
      <c r="M31" s="17">
        <v>45</v>
      </c>
      <c r="N31" s="18">
        <f>SUM(G31:M31)</f>
        <v>3550</v>
      </c>
      <c r="O31" s="21">
        <f>N31+D31</f>
        <v>7745</v>
      </c>
    </row>
    <row r="32" spans="1:15">
      <c r="A32" t="s">
        <v>79</v>
      </c>
      <c r="B32" s="16" t="s">
        <v>53</v>
      </c>
      <c r="C32" s="19">
        <v>6315</v>
      </c>
      <c r="D32" s="19">
        <v>1405</v>
      </c>
      <c r="E32" s="16">
        <v>25</v>
      </c>
      <c r="F32" s="19">
        <f>SUM(C32:E32)</f>
        <v>7745</v>
      </c>
      <c r="G32" s="16">
        <v>0</v>
      </c>
      <c r="H32" s="16">
        <v>25</v>
      </c>
      <c r="I32" s="16">
        <v>15</v>
      </c>
      <c r="J32" s="16">
        <v>0</v>
      </c>
      <c r="K32" s="16">
        <v>735</v>
      </c>
      <c r="L32" s="16">
        <v>315</v>
      </c>
      <c r="M32" s="16">
        <v>4</v>
      </c>
      <c r="N32" s="18">
        <f>SUM(G32:M32)</f>
        <v>1094</v>
      </c>
      <c r="O32" s="21">
        <f>N32+D32</f>
        <v>2499</v>
      </c>
    </row>
    <row r="33" spans="1:15">
      <c r="A33" t="s">
        <v>80</v>
      </c>
      <c r="B33" s="17" t="s">
        <v>65</v>
      </c>
      <c r="C33" s="20">
        <v>3115</v>
      </c>
      <c r="D33" s="17">
        <v>735</v>
      </c>
      <c r="E33" s="18"/>
      <c r="F33" s="19">
        <f>SUM(C33:E33)</f>
        <v>3850</v>
      </c>
      <c r="G33" s="17">
        <v>20</v>
      </c>
      <c r="H33" s="17">
        <v>105</v>
      </c>
      <c r="I33" s="18"/>
      <c r="J33" s="18"/>
      <c r="K33" s="17">
        <v>290</v>
      </c>
      <c r="L33" s="17">
        <v>490</v>
      </c>
      <c r="M33" s="17">
        <v>0</v>
      </c>
      <c r="N33" s="18">
        <f>SUM(G33:M33)</f>
        <v>905</v>
      </c>
      <c r="O33" s="21">
        <f>N33+D33</f>
        <v>1640</v>
      </c>
    </row>
    <row r="34" spans="1:15">
      <c r="A34" t="s">
        <v>80</v>
      </c>
      <c r="B34" s="16" t="s">
        <v>66</v>
      </c>
      <c r="C34" s="20">
        <v>1335565</v>
      </c>
      <c r="D34" s="20">
        <v>176625</v>
      </c>
      <c r="E34" s="18"/>
      <c r="F34" s="19">
        <f>SUM(C34:E34)</f>
        <v>1512190</v>
      </c>
      <c r="G34" s="20">
        <v>8895</v>
      </c>
      <c r="H34" s="20">
        <v>72875</v>
      </c>
      <c r="I34" s="18"/>
      <c r="J34" s="18"/>
      <c r="K34" s="20">
        <v>937290</v>
      </c>
      <c r="L34" s="20">
        <v>552280</v>
      </c>
      <c r="M34" s="20">
        <v>26945</v>
      </c>
      <c r="N34" s="18">
        <f>SUM(G34:M34)</f>
        <v>1598285</v>
      </c>
      <c r="O34" s="21">
        <f>N34+D34</f>
        <v>1774910</v>
      </c>
    </row>
    <row r="35" spans="1:15">
      <c r="A35" t="s">
        <v>80</v>
      </c>
      <c r="B35" s="16" t="s">
        <v>67</v>
      </c>
      <c r="C35" s="20">
        <v>639760</v>
      </c>
      <c r="D35" s="20">
        <v>197290</v>
      </c>
      <c r="E35" s="18"/>
      <c r="F35" s="19">
        <f>SUM(C35:E35)</f>
        <v>837050</v>
      </c>
      <c r="G35" s="20">
        <v>1100</v>
      </c>
      <c r="H35" s="20">
        <v>20890</v>
      </c>
      <c r="I35" s="18"/>
      <c r="J35" s="18"/>
      <c r="K35" s="20">
        <v>108575</v>
      </c>
      <c r="L35" s="20">
        <v>160550</v>
      </c>
      <c r="M35" s="20">
        <v>4285</v>
      </c>
      <c r="N35" s="18">
        <f>SUM(G35:M35)</f>
        <v>295400</v>
      </c>
      <c r="O35" s="21">
        <f>N35+D35</f>
        <v>492690</v>
      </c>
    </row>
    <row r="36" spans="1:15">
      <c r="A36" t="s">
        <v>79</v>
      </c>
      <c r="B36" s="16" t="s">
        <v>52</v>
      </c>
      <c r="C36" s="19">
        <v>28570</v>
      </c>
      <c r="D36" s="19">
        <v>5735</v>
      </c>
      <c r="E36" s="16">
        <v>355</v>
      </c>
      <c r="F36" s="19">
        <f>SUM(C36:E36)</f>
        <v>34660</v>
      </c>
      <c r="G36" s="16">
        <v>120</v>
      </c>
      <c r="H36" s="16">
        <v>25</v>
      </c>
      <c r="I36" s="16">
        <v>260</v>
      </c>
      <c r="J36" s="16">
        <v>4</v>
      </c>
      <c r="K36" s="19">
        <v>2330</v>
      </c>
      <c r="L36" s="19">
        <v>1080</v>
      </c>
      <c r="M36" s="16">
        <v>135</v>
      </c>
      <c r="N36" s="18">
        <f>SUM(G36:M36)</f>
        <v>3954</v>
      </c>
      <c r="O36" s="21">
        <f>N36+D36</f>
        <v>9689</v>
      </c>
    </row>
    <row r="37" spans="1:15">
      <c r="A37" t="s">
        <v>79</v>
      </c>
      <c r="B37" s="16" t="s">
        <v>51</v>
      </c>
      <c r="C37" s="19">
        <v>5910</v>
      </c>
      <c r="D37" s="19">
        <v>2725</v>
      </c>
      <c r="E37" s="16">
        <v>45</v>
      </c>
      <c r="F37" s="19">
        <f>SUM(C37:E37)</f>
        <v>8680</v>
      </c>
      <c r="G37" s="16">
        <v>20</v>
      </c>
      <c r="H37" s="16">
        <v>30</v>
      </c>
      <c r="I37" s="16">
        <v>10</v>
      </c>
      <c r="J37" s="16">
        <v>20</v>
      </c>
      <c r="K37" s="16">
        <v>845</v>
      </c>
      <c r="L37" s="16">
        <v>225</v>
      </c>
      <c r="M37" s="16">
        <v>45</v>
      </c>
      <c r="N37" s="18">
        <f>SUM(G37:M37)</f>
        <v>1195</v>
      </c>
      <c r="O37" s="21">
        <f>N37+D37</f>
        <v>3920</v>
      </c>
    </row>
    <row r="38" spans="1:15">
      <c r="A38" t="s">
        <v>79</v>
      </c>
      <c r="B38" s="16" t="s">
        <v>49</v>
      </c>
      <c r="C38" s="19">
        <v>32480</v>
      </c>
      <c r="D38" s="19">
        <v>3115</v>
      </c>
      <c r="E38" s="16">
        <v>180</v>
      </c>
      <c r="F38" s="19">
        <f>SUM(C38:E38)</f>
        <v>35775</v>
      </c>
      <c r="G38" s="16">
        <v>35</v>
      </c>
      <c r="H38" s="16">
        <v>40</v>
      </c>
      <c r="I38" s="16">
        <v>280</v>
      </c>
      <c r="J38" s="16">
        <v>15</v>
      </c>
      <c r="K38" s="19">
        <v>1820</v>
      </c>
      <c r="L38" s="19">
        <v>1280</v>
      </c>
      <c r="M38" s="16">
        <v>225</v>
      </c>
      <c r="N38" s="18">
        <f>SUM(G38:M38)</f>
        <v>3695</v>
      </c>
      <c r="O38" s="21">
        <f>N38+D38</f>
        <v>6810</v>
      </c>
    </row>
    <row r="39" spans="1:15">
      <c r="A39" t="s">
        <v>79</v>
      </c>
      <c r="B39" s="16" t="s">
        <v>48</v>
      </c>
      <c r="C39" s="19">
        <v>12335</v>
      </c>
      <c r="D39" s="19">
        <v>5570</v>
      </c>
      <c r="E39" s="16">
        <v>190</v>
      </c>
      <c r="F39" s="19">
        <f>SUM(C39:E39)</f>
        <v>18095</v>
      </c>
      <c r="G39" s="16">
        <v>20</v>
      </c>
      <c r="H39" s="16">
        <v>0</v>
      </c>
      <c r="I39" s="16">
        <v>40</v>
      </c>
      <c r="J39" s="16">
        <v>65</v>
      </c>
      <c r="K39" s="19">
        <v>1970</v>
      </c>
      <c r="L39" s="16">
        <v>585</v>
      </c>
      <c r="M39" s="16">
        <v>85</v>
      </c>
      <c r="N39" s="18">
        <f>SUM(G39:M39)</f>
        <v>2765</v>
      </c>
      <c r="O39" s="21">
        <f>N39+D39</f>
        <v>8335</v>
      </c>
    </row>
    <row r="40" spans="1:15">
      <c r="A40" t="s">
        <v>79</v>
      </c>
      <c r="B40" s="16" t="s">
        <v>46</v>
      </c>
      <c r="C40" s="19">
        <v>55290</v>
      </c>
      <c r="D40" s="19">
        <v>9930</v>
      </c>
      <c r="E40" s="16">
        <v>250</v>
      </c>
      <c r="F40" s="19">
        <f>SUM(C40:E40)</f>
        <v>65470</v>
      </c>
      <c r="G40" s="16">
        <v>85</v>
      </c>
      <c r="H40" s="16">
        <v>225</v>
      </c>
      <c r="I40" s="16">
        <v>420</v>
      </c>
      <c r="J40" s="16">
        <v>190</v>
      </c>
      <c r="K40" s="19">
        <v>9650</v>
      </c>
      <c r="L40" s="19">
        <v>3500</v>
      </c>
      <c r="M40" s="16">
        <v>440</v>
      </c>
      <c r="N40" s="18">
        <f>SUM(G40:M40)</f>
        <v>14510</v>
      </c>
      <c r="O40" s="21">
        <f>N40+D40</f>
        <v>24440</v>
      </c>
    </row>
    <row r="41" spans="1:15">
      <c r="A41" t="s">
        <v>79</v>
      </c>
      <c r="B41" s="16" t="s">
        <v>45</v>
      </c>
      <c r="C41" s="19">
        <v>6230</v>
      </c>
      <c r="D41" s="19">
        <v>1075</v>
      </c>
      <c r="E41" s="16">
        <v>0</v>
      </c>
      <c r="F41" s="19">
        <f>SUM(C41:E41)</f>
        <v>7305</v>
      </c>
      <c r="G41" s="16">
        <v>40</v>
      </c>
      <c r="H41" s="16">
        <v>70</v>
      </c>
      <c r="I41" s="16">
        <v>10</v>
      </c>
      <c r="J41" s="16">
        <v>0</v>
      </c>
      <c r="K41" s="16">
        <v>565</v>
      </c>
      <c r="L41" s="16">
        <v>165</v>
      </c>
      <c r="M41" s="16">
        <v>45</v>
      </c>
      <c r="N41" s="18">
        <f>SUM(G41:M41)</f>
        <v>895</v>
      </c>
      <c r="O41" s="21">
        <f>N41+D41</f>
        <v>1970</v>
      </c>
    </row>
    <row r="42" spans="1:15">
      <c r="A42" t="s">
        <v>79</v>
      </c>
      <c r="B42" s="16" t="s">
        <v>44</v>
      </c>
      <c r="C42" s="19">
        <v>494440</v>
      </c>
      <c r="D42" s="19">
        <v>34685</v>
      </c>
      <c r="E42" s="19">
        <v>1985</v>
      </c>
      <c r="F42" s="19">
        <f>SUM(C42:E42)</f>
        <v>531110</v>
      </c>
      <c r="G42" s="16">
        <v>340</v>
      </c>
      <c r="H42" s="19">
        <v>1320</v>
      </c>
      <c r="I42" s="19">
        <v>3000</v>
      </c>
      <c r="J42" s="16">
        <v>325</v>
      </c>
      <c r="K42" s="19">
        <v>79830</v>
      </c>
      <c r="L42" s="19">
        <v>38380</v>
      </c>
      <c r="M42" s="19">
        <v>2705</v>
      </c>
      <c r="N42" s="18">
        <f>SUM(G42:M42)</f>
        <v>125900</v>
      </c>
      <c r="O42" s="21">
        <f>N42+D42</f>
        <v>160585</v>
      </c>
    </row>
    <row r="43" spans="1:15">
      <c r="A43" t="s">
        <v>80</v>
      </c>
      <c r="B43" s="17" t="s">
        <v>76</v>
      </c>
      <c r="C43" s="20">
        <v>135330</v>
      </c>
      <c r="D43" s="20">
        <v>9055</v>
      </c>
      <c r="E43" s="18"/>
      <c r="F43" s="19">
        <f>SUM(C43:E43)</f>
        <v>144385</v>
      </c>
      <c r="G43" s="17">
        <v>25</v>
      </c>
      <c r="H43" s="20">
        <v>2400</v>
      </c>
      <c r="I43" s="18"/>
      <c r="J43" s="18"/>
      <c r="K43" s="20">
        <v>11700</v>
      </c>
      <c r="L43" s="20">
        <v>7210</v>
      </c>
      <c r="M43" s="17">
        <v>340</v>
      </c>
      <c r="N43" s="18">
        <f>SUM(G43:M43)</f>
        <v>21675</v>
      </c>
      <c r="O43" s="21">
        <f>N43+D43</f>
        <v>30730</v>
      </c>
    </row>
    <row r="44" spans="1:15">
      <c r="A44" t="s">
        <v>79</v>
      </c>
      <c r="B44" s="16" t="s">
        <v>37</v>
      </c>
      <c r="C44" s="19">
        <v>11815</v>
      </c>
      <c r="D44" s="16">
        <v>475</v>
      </c>
      <c r="E44" s="16">
        <v>90</v>
      </c>
      <c r="F44" s="19">
        <f>SUM(C44:E44)</f>
        <v>12380</v>
      </c>
      <c r="G44" s="16">
        <v>0</v>
      </c>
      <c r="H44" s="16">
        <v>45</v>
      </c>
      <c r="I44" s="16">
        <v>15</v>
      </c>
      <c r="J44" s="16">
        <v>0</v>
      </c>
      <c r="K44" s="16">
        <v>485</v>
      </c>
      <c r="L44" s="16">
        <v>170</v>
      </c>
      <c r="M44" s="16">
        <v>0</v>
      </c>
      <c r="N44" s="18">
        <f>SUM(G44:M44)</f>
        <v>715</v>
      </c>
      <c r="O44" s="21">
        <f>N44+D44</f>
        <v>1190</v>
      </c>
    </row>
    <row r="45" spans="1:15">
      <c r="A45" t="s">
        <v>79</v>
      </c>
      <c r="B45" s="16" t="s">
        <v>36</v>
      </c>
      <c r="C45" s="19">
        <v>65165</v>
      </c>
      <c r="D45" s="19">
        <v>3305</v>
      </c>
      <c r="E45" s="16">
        <v>240</v>
      </c>
      <c r="F45" s="19">
        <f>SUM(C45:E45)</f>
        <v>68710</v>
      </c>
      <c r="G45" s="16">
        <v>10</v>
      </c>
      <c r="H45" s="16">
        <v>80</v>
      </c>
      <c r="I45" s="16">
        <v>280</v>
      </c>
      <c r="J45" s="16">
        <v>35</v>
      </c>
      <c r="K45" s="19">
        <v>3615</v>
      </c>
      <c r="L45" s="16">
        <v>675</v>
      </c>
      <c r="M45" s="16">
        <v>65</v>
      </c>
      <c r="N45" s="18">
        <f>SUM(G45:M45)</f>
        <v>4760</v>
      </c>
      <c r="O45" s="21">
        <f>N45+D45</f>
        <v>8065</v>
      </c>
    </row>
    <row r="46" spans="1:15">
      <c r="A46" t="s">
        <v>79</v>
      </c>
      <c r="B46" s="16" t="s">
        <v>31</v>
      </c>
      <c r="C46" s="19">
        <v>1839985</v>
      </c>
      <c r="D46" s="19">
        <v>183890</v>
      </c>
      <c r="E46" s="19">
        <v>5480</v>
      </c>
      <c r="F46" s="19">
        <f>SUM(C46:E46)</f>
        <v>2029355</v>
      </c>
      <c r="G46" s="19">
        <v>1930</v>
      </c>
      <c r="H46" s="19">
        <v>2800</v>
      </c>
      <c r="I46" s="19">
        <v>8045</v>
      </c>
      <c r="J46" s="19">
        <v>1305</v>
      </c>
      <c r="K46" s="19">
        <v>239360</v>
      </c>
      <c r="L46" s="19">
        <v>35175</v>
      </c>
      <c r="M46" s="19">
        <v>9280</v>
      </c>
      <c r="N46" s="18">
        <f>SUM(G46:M46)</f>
        <v>297895</v>
      </c>
      <c r="O46" s="21">
        <f>N46+D46</f>
        <v>481785</v>
      </c>
    </row>
    <row r="47" spans="1:15">
      <c r="A47" t="s">
        <v>80</v>
      </c>
      <c r="B47" s="17" t="s">
        <v>73</v>
      </c>
      <c r="C47" s="20">
        <v>175040</v>
      </c>
      <c r="D47" s="20">
        <v>5955</v>
      </c>
      <c r="E47" s="18"/>
      <c r="F47" s="19">
        <f>SUM(C47:E47)</f>
        <v>180995</v>
      </c>
      <c r="G47" s="17">
        <v>230</v>
      </c>
      <c r="H47" s="20">
        <v>4235</v>
      </c>
      <c r="I47" s="18"/>
      <c r="J47" s="18"/>
      <c r="K47" s="20">
        <v>20730</v>
      </c>
      <c r="L47" s="20">
        <v>22045</v>
      </c>
      <c r="M47" s="20">
        <v>1090</v>
      </c>
      <c r="N47" s="18">
        <f>SUM(G47:M47)</f>
        <v>48330</v>
      </c>
      <c r="O47" s="21">
        <f>N47+D47</f>
        <v>54285</v>
      </c>
    </row>
    <row r="48" spans="1:15">
      <c r="A48" t="s">
        <v>80</v>
      </c>
      <c r="B48" s="17" t="s">
        <v>74</v>
      </c>
      <c r="C48" s="20">
        <v>649570</v>
      </c>
      <c r="D48" s="20">
        <v>41440</v>
      </c>
      <c r="E48" s="18"/>
      <c r="F48" s="19">
        <f>SUM(C48:E48)</f>
        <v>691010</v>
      </c>
      <c r="G48" s="20">
        <v>1850</v>
      </c>
      <c r="H48" s="20">
        <v>20555</v>
      </c>
      <c r="I48" s="18"/>
      <c r="J48" s="18"/>
      <c r="K48" s="20">
        <v>134750</v>
      </c>
      <c r="L48" s="20">
        <v>180600</v>
      </c>
      <c r="M48" s="20">
        <v>7795</v>
      </c>
      <c r="N48" s="18">
        <f>SUM(G48:M48)</f>
        <v>345550</v>
      </c>
      <c r="O48" s="21">
        <f>N48+D48</f>
        <v>386990</v>
      </c>
    </row>
    <row r="49" spans="1:15">
      <c r="A49" t="s">
        <v>80</v>
      </c>
      <c r="B49" s="17" t="s">
        <v>75</v>
      </c>
      <c r="C49" s="20">
        <v>2059395</v>
      </c>
      <c r="D49" s="20">
        <v>236875</v>
      </c>
      <c r="E49" s="18"/>
      <c r="F49" s="19">
        <f>SUM(C49:E49)</f>
        <v>2296270</v>
      </c>
      <c r="G49" s="20">
        <v>2625</v>
      </c>
      <c r="H49" s="20">
        <v>48990</v>
      </c>
      <c r="I49" s="18"/>
      <c r="J49" s="18"/>
      <c r="K49" s="20">
        <v>319390</v>
      </c>
      <c r="L49" s="20">
        <v>187060</v>
      </c>
      <c r="M49" s="20">
        <v>10910</v>
      </c>
      <c r="N49" s="18">
        <f>SUM(G49:M49)</f>
        <v>568975</v>
      </c>
      <c r="O49" s="21">
        <f>N49+D49</f>
        <v>805850</v>
      </c>
    </row>
    <row r="50" spans="1:15">
      <c r="A50" t="s">
        <v>79</v>
      </c>
      <c r="B50" s="16" t="s">
        <v>47</v>
      </c>
      <c r="C50" s="19">
        <v>2197265</v>
      </c>
      <c r="D50" s="19">
        <v>59675</v>
      </c>
      <c r="E50" s="19">
        <v>6055</v>
      </c>
      <c r="F50" s="19">
        <f>SUM(C50:E50)</f>
        <v>2262995</v>
      </c>
      <c r="G50" s="19">
        <v>1780</v>
      </c>
      <c r="H50" s="19">
        <v>3305</v>
      </c>
      <c r="I50" s="19">
        <v>8555</v>
      </c>
      <c r="J50" s="19">
        <v>2155</v>
      </c>
      <c r="K50" s="19">
        <v>239930</v>
      </c>
      <c r="L50" s="19">
        <v>64775</v>
      </c>
      <c r="M50" s="19">
        <v>10345</v>
      </c>
      <c r="N50" s="18">
        <f>SUM(G50:M50)</f>
        <v>330845</v>
      </c>
      <c r="O50" s="21">
        <f>N50+D50</f>
        <v>390520</v>
      </c>
    </row>
    <row r="51" spans="1:15">
      <c r="A51" t="s">
        <v>80</v>
      </c>
      <c r="B51" s="17" t="s">
        <v>71</v>
      </c>
      <c r="C51" s="20">
        <v>2283435</v>
      </c>
      <c r="D51" s="20">
        <v>81375</v>
      </c>
      <c r="E51" s="18"/>
      <c r="F51" s="19">
        <f>SUM(C51:E51)</f>
        <v>2364810</v>
      </c>
      <c r="G51" s="20">
        <v>1990</v>
      </c>
      <c r="H51" s="20">
        <v>45910</v>
      </c>
      <c r="I51" s="18"/>
      <c r="J51" s="18"/>
      <c r="K51" s="20">
        <v>259915</v>
      </c>
      <c r="L51" s="20">
        <v>277620</v>
      </c>
      <c r="M51" s="20">
        <v>11565</v>
      </c>
      <c r="N51" s="18">
        <f>SUM(G51:M51)</f>
        <v>597000</v>
      </c>
      <c r="O51" s="21">
        <f>N51+D51</f>
        <v>678375</v>
      </c>
    </row>
    <row r="52" spans="1:15">
      <c r="A52" t="s">
        <v>80</v>
      </c>
      <c r="B52" s="17" t="s">
        <v>72</v>
      </c>
      <c r="C52" s="20">
        <v>358350</v>
      </c>
      <c r="D52" s="20">
        <v>15025</v>
      </c>
      <c r="E52" s="18"/>
      <c r="F52" s="19">
        <f>SUM(C52:E52)</f>
        <v>373375</v>
      </c>
      <c r="G52" s="17">
        <v>380</v>
      </c>
      <c r="H52" s="20">
        <v>8300</v>
      </c>
      <c r="I52" s="18"/>
      <c r="J52" s="18"/>
      <c r="K52" s="20">
        <v>34450</v>
      </c>
      <c r="L52" s="20">
        <v>40985</v>
      </c>
      <c r="M52" s="20">
        <v>1900</v>
      </c>
      <c r="N52" s="18">
        <f>SUM(G52:M52)</f>
        <v>86015</v>
      </c>
      <c r="O52" s="21">
        <f>N52+D52</f>
        <v>101040</v>
      </c>
    </row>
    <row r="53" spans="1:15">
      <c r="A53" t="s">
        <v>79</v>
      </c>
      <c r="B53" s="16" t="s">
        <v>35</v>
      </c>
      <c r="C53" s="19">
        <v>387990</v>
      </c>
      <c r="D53" s="19">
        <v>29920</v>
      </c>
      <c r="E53" s="19">
        <v>2100</v>
      </c>
      <c r="F53" s="19">
        <f>SUM(C53:E53)</f>
        <v>420010</v>
      </c>
      <c r="G53" s="16">
        <v>825</v>
      </c>
      <c r="H53" s="19">
        <v>1900</v>
      </c>
      <c r="I53" s="19">
        <v>2500</v>
      </c>
      <c r="J53" s="16">
        <v>615</v>
      </c>
      <c r="K53" s="19">
        <v>57815</v>
      </c>
      <c r="L53" s="19">
        <v>18710</v>
      </c>
      <c r="M53" s="19">
        <v>3315</v>
      </c>
      <c r="N53" s="18">
        <f>SUM(G53:M53)</f>
        <v>85680</v>
      </c>
      <c r="O53" s="21">
        <f>N53+D53</f>
        <v>115600</v>
      </c>
    </row>
    <row r="54" spans="1:15">
      <c r="A54" t="s">
        <v>79</v>
      </c>
      <c r="B54" s="16" t="s">
        <v>33</v>
      </c>
      <c r="C54" s="19">
        <v>387810</v>
      </c>
      <c r="D54" s="19">
        <v>16550</v>
      </c>
      <c r="E54" s="19">
        <v>1050</v>
      </c>
      <c r="F54" s="19">
        <f>SUM(C54:E54)</f>
        <v>405410</v>
      </c>
      <c r="G54" s="16">
        <v>710</v>
      </c>
      <c r="H54" s="19">
        <v>1455</v>
      </c>
      <c r="I54" s="19">
        <v>1975</v>
      </c>
      <c r="J54" s="16">
        <v>455</v>
      </c>
      <c r="K54" s="19">
        <v>91940</v>
      </c>
      <c r="L54" s="19">
        <v>25780</v>
      </c>
      <c r="M54" s="19">
        <v>4365</v>
      </c>
      <c r="N54" s="18">
        <f>SUM(G54:M54)</f>
        <v>126680</v>
      </c>
      <c r="O54" s="21">
        <f>N54+D54</f>
        <v>143230</v>
      </c>
    </row>
    <row r="55" spans="1:15">
      <c r="A55" t="s">
        <v>79</v>
      </c>
      <c r="B55" s="16" t="s">
        <v>30</v>
      </c>
      <c r="C55" s="19">
        <v>380240</v>
      </c>
      <c r="D55" s="19">
        <v>11330</v>
      </c>
      <c r="E55" s="19">
        <v>1335</v>
      </c>
      <c r="F55" s="19">
        <f>SUM(C55:E55)</f>
        <v>392905</v>
      </c>
      <c r="G55" s="16">
        <v>305</v>
      </c>
      <c r="H55" s="16">
        <v>780</v>
      </c>
      <c r="I55" s="19">
        <v>1955</v>
      </c>
      <c r="J55" s="16">
        <v>310</v>
      </c>
      <c r="K55" s="19">
        <v>38665</v>
      </c>
      <c r="L55" s="19">
        <v>12790</v>
      </c>
      <c r="M55" s="19">
        <v>2100</v>
      </c>
      <c r="N55" s="18">
        <f>SUM(G55:M55)</f>
        <v>56905</v>
      </c>
      <c r="O55" s="21">
        <f>N55+D55</f>
        <v>68235</v>
      </c>
    </row>
    <row r="56" spans="1:15">
      <c r="A56" t="s">
        <v>79</v>
      </c>
      <c r="B56" s="16" t="s">
        <v>27</v>
      </c>
      <c r="C56" s="19">
        <v>155145</v>
      </c>
      <c r="D56" s="19">
        <v>3945</v>
      </c>
      <c r="E56" s="16">
        <v>350</v>
      </c>
      <c r="F56" s="19">
        <f>SUM(C56:E56)</f>
        <v>159440</v>
      </c>
      <c r="G56" s="16">
        <v>185</v>
      </c>
      <c r="H56" s="16">
        <v>310</v>
      </c>
      <c r="I56" s="19">
        <v>1095</v>
      </c>
      <c r="J56" s="16">
        <v>150</v>
      </c>
      <c r="K56" s="19">
        <v>18250</v>
      </c>
      <c r="L56" s="19">
        <v>4615</v>
      </c>
      <c r="M56" s="19">
        <v>1160</v>
      </c>
      <c r="N56" s="18">
        <f>SUM(G56:M56)</f>
        <v>25765</v>
      </c>
      <c r="O56" s="21">
        <f>N56+D56</f>
        <v>29710</v>
      </c>
    </row>
    <row r="57" spans="1:15">
      <c r="A57" t="s">
        <v>79</v>
      </c>
      <c r="B57" s="16" t="s">
        <v>25</v>
      </c>
      <c r="C57" s="19">
        <v>630010</v>
      </c>
      <c r="D57" s="19">
        <v>24185</v>
      </c>
      <c r="E57" s="19">
        <v>1570</v>
      </c>
      <c r="F57" s="19">
        <f>SUM(C57:E57)</f>
        <v>655765</v>
      </c>
      <c r="G57" s="19">
        <v>1530</v>
      </c>
      <c r="H57" s="19">
        <v>1895</v>
      </c>
      <c r="I57" s="19">
        <v>3945</v>
      </c>
      <c r="J57" s="16">
        <v>825</v>
      </c>
      <c r="K57" s="19">
        <v>129715</v>
      </c>
      <c r="L57" s="19">
        <v>62580</v>
      </c>
      <c r="M57" s="19">
        <v>8205</v>
      </c>
      <c r="N57" s="18">
        <f>SUM(G57:M57)</f>
        <v>208695</v>
      </c>
      <c r="O57" s="21">
        <f>N57+D57</f>
        <v>232880</v>
      </c>
    </row>
    <row r="58" spans="1:15">
      <c r="A58" t="s">
        <v>80</v>
      </c>
      <c r="B58" s="17" t="s">
        <v>68</v>
      </c>
      <c r="C58" s="20">
        <v>122610</v>
      </c>
      <c r="D58" s="20">
        <v>5070</v>
      </c>
      <c r="E58" s="18"/>
      <c r="F58" s="19">
        <f>SUM(C58:E58)</f>
        <v>127680</v>
      </c>
      <c r="G58" s="17">
        <v>30</v>
      </c>
      <c r="H58" s="20">
        <v>3035</v>
      </c>
      <c r="I58" s="18"/>
      <c r="J58" s="18"/>
      <c r="K58" s="20">
        <v>8360</v>
      </c>
      <c r="L58" s="20">
        <v>12065</v>
      </c>
      <c r="M58" s="17">
        <v>170</v>
      </c>
      <c r="N58" s="18">
        <f>SUM(G58:M58)</f>
        <v>23660</v>
      </c>
      <c r="O58" s="21">
        <f>N58+D58</f>
        <v>28730</v>
      </c>
    </row>
    <row r="59" spans="1:15">
      <c r="A59" t="s">
        <v>80</v>
      </c>
      <c r="B59" s="17" t="s">
        <v>69</v>
      </c>
      <c r="C59" s="20">
        <v>932655</v>
      </c>
      <c r="D59" s="20">
        <v>46565</v>
      </c>
      <c r="E59" s="18"/>
      <c r="F59" s="19">
        <f>SUM(C59:E59)</f>
        <v>979220</v>
      </c>
      <c r="G59" s="20">
        <v>2040</v>
      </c>
      <c r="H59" s="20">
        <v>33660</v>
      </c>
      <c r="I59" s="18"/>
      <c r="J59" s="18"/>
      <c r="K59" s="20">
        <v>304470</v>
      </c>
      <c r="L59" s="20">
        <v>208015</v>
      </c>
      <c r="M59" s="20">
        <v>13175</v>
      </c>
      <c r="N59" s="18">
        <f>SUM(G59:M59)</f>
        <v>561360</v>
      </c>
      <c r="O59" s="21">
        <f>N59+D59</f>
        <v>607925</v>
      </c>
    </row>
    <row r="60" spans="1:15">
      <c r="A60" t="s">
        <v>80</v>
      </c>
      <c r="B60" s="17" t="s">
        <v>70</v>
      </c>
      <c r="C60" s="20">
        <v>374035</v>
      </c>
      <c r="D60" s="20">
        <v>20125</v>
      </c>
      <c r="E60" s="18"/>
      <c r="F60" s="19">
        <f>SUM(C60:E60)</f>
        <v>394160</v>
      </c>
      <c r="G60" s="17">
        <v>675</v>
      </c>
      <c r="H60" s="20">
        <v>10815</v>
      </c>
      <c r="I60" s="18"/>
      <c r="J60" s="18"/>
      <c r="K60" s="20">
        <v>98635</v>
      </c>
      <c r="L60" s="20">
        <v>84855</v>
      </c>
      <c r="M60" s="20">
        <v>3780</v>
      </c>
      <c r="N60" s="18">
        <f>SUM(G60:M60)</f>
        <v>198760</v>
      </c>
      <c r="O60" s="21">
        <f>N60+D60</f>
        <v>218885</v>
      </c>
    </row>
    <row r="61" spans="1:15">
      <c r="B61" s="16"/>
      <c r="C61" s="19"/>
      <c r="D61" s="19"/>
      <c r="E61" s="19"/>
      <c r="F61" s="19"/>
      <c r="G61" s="19"/>
      <c r="H61" s="19"/>
      <c r="I61" s="19"/>
      <c r="J61" s="16"/>
      <c r="K61" s="19"/>
      <c r="L61" s="19"/>
      <c r="M61" s="19"/>
      <c r="N61" s="18"/>
      <c r="O61" s="21"/>
    </row>
  </sheetData>
  <sortState xmlns:xlrd2="http://schemas.microsoft.com/office/spreadsheetml/2017/richdata2" ref="A2:O61">
    <sortCondition ref="B2:B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Aleta White</dc:creator>
  <cp:lastModifiedBy>Mary Aleta White</cp:lastModifiedBy>
  <dcterms:created xsi:type="dcterms:W3CDTF">2022-10-15T16:01:59Z</dcterms:created>
  <dcterms:modified xsi:type="dcterms:W3CDTF">2022-10-15T22:44:43Z</dcterms:modified>
</cp:coreProperties>
</file>