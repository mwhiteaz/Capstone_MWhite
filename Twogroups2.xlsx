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F6F73D53-8642-422C-A5E7-F782C75270D0}" xr6:coauthVersionLast="47" xr6:coauthVersionMax="47" xr10:uidLastSave="{00000000-0000-0000-0000-000000000000}"/>
  <bookViews>
    <workbookView xWindow="345" yWindow="345" windowWidth="15360" windowHeight="10920" xr2:uid="{CEF7A3B5-83FA-4552-9D39-806C57DD65C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2" i="3"/>
</calcChain>
</file>

<file path=xl/sharedStrings.xml><?xml version="1.0" encoding="utf-8"?>
<sst xmlns="http://schemas.openxmlformats.org/spreadsheetml/2006/main" count="980" uniqueCount="360">
  <si>
    <t>Race</t>
  </si>
  <si>
    <t>Engineer</t>
  </si>
  <si>
    <t>Counselor</t>
  </si>
  <si>
    <t>Nurse</t>
  </si>
  <si>
    <t>Teacher</t>
  </si>
  <si>
    <t>Hairstylist</t>
  </si>
  <si>
    <t>Was</t>
  </si>
  <si>
    <t>Job</t>
  </si>
  <si>
    <t>Total</t>
  </si>
  <si>
    <t>Occupation Code</t>
  </si>
  <si>
    <t>Gender</t>
  </si>
  <si>
    <t xml:space="preserve">Total  </t>
  </si>
  <si>
    <t>WhiteHispanic</t>
  </si>
  <si>
    <t>HispanicOther</t>
  </si>
  <si>
    <t>White</t>
  </si>
  <si>
    <t>Black</t>
  </si>
  <si>
    <t>AI</t>
  </si>
  <si>
    <t>Asian</t>
  </si>
  <si>
    <t>PI</t>
  </si>
  <si>
    <t>BW</t>
  </si>
  <si>
    <t>WAI</t>
  </si>
  <si>
    <t>BAI</t>
  </si>
  <si>
    <t>2006-10</t>
  </si>
  <si>
    <t>Aerospace engineers 1320 (SOC 17-2011)</t>
  </si>
  <si>
    <t>395</t>
  </si>
  <si>
    <t>140</t>
  </si>
  <si>
    <t>190</t>
  </si>
  <si>
    <t>2,140</t>
  </si>
  <si>
    <t>320</t>
  </si>
  <si>
    <t>165</t>
  </si>
  <si>
    <t>645</t>
  </si>
  <si>
    <t>Female</t>
  </si>
  <si>
    <t>16,460</t>
  </si>
  <si>
    <t>725</t>
  </si>
  <si>
    <t>315</t>
  </si>
  <si>
    <t>11,140</t>
  </si>
  <si>
    <t>840</t>
  </si>
  <si>
    <t>75</t>
  </si>
  <si>
    <t>3,010</t>
  </si>
  <si>
    <t>0</t>
  </si>
  <si>
    <t>25</t>
  </si>
  <si>
    <t>35</t>
  </si>
  <si>
    <t>110</t>
  </si>
  <si>
    <t>85</t>
  </si>
  <si>
    <t>Biomedical and agricultural engineers 1340 (SOC 17-20XX)</t>
  </si>
  <si>
    <t>310</t>
  </si>
  <si>
    <t>1,550</t>
  </si>
  <si>
    <t>10</t>
  </si>
  <si>
    <t>30</t>
  </si>
  <si>
    <t>60</t>
  </si>
  <si>
    <t>2,285</t>
  </si>
  <si>
    <t>105</t>
  </si>
  <si>
    <t>1,680</t>
  </si>
  <si>
    <t>40</t>
  </si>
  <si>
    <t>365</t>
  </si>
  <si>
    <t>Chemical engineers 1350 (SOC 17-2041)</t>
  </si>
  <si>
    <t>1,010</t>
  </si>
  <si>
    <t>4</t>
  </si>
  <si>
    <t>65</t>
  </si>
  <si>
    <t>9,185</t>
  </si>
  <si>
    <t>325</t>
  </si>
  <si>
    <t>6,315</t>
  </si>
  <si>
    <t>735</t>
  </si>
  <si>
    <t>1,405</t>
  </si>
  <si>
    <t>15</t>
  </si>
  <si>
    <t>Civil engineers 1360 (SOC 17-2051)</t>
  </si>
  <si>
    <t>180</t>
  </si>
  <si>
    <t>55</t>
  </si>
  <si>
    <t>50</t>
  </si>
  <si>
    <t>41,050</t>
  </si>
  <si>
    <t>1,080</t>
  </si>
  <si>
    <t>28,570</t>
  </si>
  <si>
    <t>2,330</t>
  </si>
  <si>
    <t>135</t>
  </si>
  <si>
    <t>5,735</t>
  </si>
  <si>
    <t>120</t>
  </si>
  <si>
    <t>260</t>
  </si>
  <si>
    <t>355</t>
  </si>
  <si>
    <t>Computer hardware engineers 1400 (SOC 17-2061)</t>
  </si>
  <si>
    <t>20</t>
  </si>
  <si>
    <t>245</t>
  </si>
  <si>
    <t>10,345</t>
  </si>
  <si>
    <t>425</t>
  </si>
  <si>
    <t>225</t>
  </si>
  <si>
    <t>5,910</t>
  </si>
  <si>
    <t>845</t>
  </si>
  <si>
    <t>45</t>
  </si>
  <si>
    <t>2,725</t>
  </si>
  <si>
    <t>Counselors 2000 (SOC 21-1010)</t>
  </si>
  <si>
    <t>475,430</t>
  </si>
  <si>
    <t>26,465</t>
  </si>
  <si>
    <t>17,720</t>
  </si>
  <si>
    <t>319,025</t>
  </si>
  <si>
    <t>87,735</t>
  </si>
  <si>
    <t>3,820</t>
  </si>
  <si>
    <t>11,250</t>
  </si>
  <si>
    <t>715</t>
  </si>
  <si>
    <t>2,255</t>
  </si>
  <si>
    <t>1,480</t>
  </si>
  <si>
    <t>540</t>
  </si>
  <si>
    <t>455</t>
  </si>
  <si>
    <t>Drafters 1540 (SOC 17-3010)</t>
  </si>
  <si>
    <t>900</t>
  </si>
  <si>
    <t>150</t>
  </si>
  <si>
    <t>675</t>
  </si>
  <si>
    <t>520</t>
  </si>
  <si>
    <t>41,840</t>
  </si>
  <si>
    <t>2,295</t>
  </si>
  <si>
    <t>1,280</t>
  </si>
  <si>
    <t>32,480</t>
  </si>
  <si>
    <t>1,820</t>
  </si>
  <si>
    <t>3,115</t>
  </si>
  <si>
    <t>280</t>
  </si>
  <si>
    <t>Electrical and electronics engineers 1410 (SOC 17-2070)</t>
  </si>
  <si>
    <t>130</t>
  </si>
  <si>
    <t>22,040</t>
  </si>
  <si>
    <t>1,070</t>
  </si>
  <si>
    <t>585</t>
  </si>
  <si>
    <t>12,335</t>
  </si>
  <si>
    <t>1,970</t>
  </si>
  <si>
    <t>5,570</t>
  </si>
  <si>
    <t>Elementary and middle school teachers 2310 (SOC 25-2020)</t>
  </si>
  <si>
    <t>2,737,785</t>
  </si>
  <si>
    <t>134,255</t>
  </si>
  <si>
    <t>64,775</t>
  </si>
  <si>
    <t>2,197,265</t>
  </si>
  <si>
    <t>239,930</t>
  </si>
  <si>
    <t>59,675</t>
  </si>
  <si>
    <t>1,780</t>
  </si>
  <si>
    <t>3,305</t>
  </si>
  <si>
    <t>8,555</t>
  </si>
  <si>
    <t>6,055</t>
  </si>
  <si>
    <t>2,155</t>
  </si>
  <si>
    <t>Engineering technicians, except drafters 1550 (SOC 17-3020)</t>
  </si>
  <si>
    <t>565</t>
  </si>
  <si>
    <t>1,160</t>
  </si>
  <si>
    <t>85,590</t>
  </si>
  <si>
    <t>5,160</t>
  </si>
  <si>
    <t>3,500</t>
  </si>
  <si>
    <t>55,290</t>
  </si>
  <si>
    <t>9,650</t>
  </si>
  <si>
    <t>440</t>
  </si>
  <si>
    <t>9,930</t>
  </si>
  <si>
    <t>420</t>
  </si>
  <si>
    <t>250</t>
  </si>
  <si>
    <t>Environmental engineers 1420 (SOC 17-2081)</t>
  </si>
  <si>
    <t>615</t>
  </si>
  <si>
    <t>80</t>
  </si>
  <si>
    <t>8,405</t>
  </si>
  <si>
    <t>170</t>
  </si>
  <si>
    <t>6,230</t>
  </si>
  <si>
    <t>1,075</t>
  </si>
  <si>
    <t>70</t>
  </si>
  <si>
    <t>Hairdressers, hairstylists, and cosmetologists 4510 (SOC 39-5012)</t>
  </si>
  <si>
    <t>714,640</t>
  </si>
  <si>
    <t>54,705</t>
  </si>
  <si>
    <t>38,380</t>
  </si>
  <si>
    <t>494,440</t>
  </si>
  <si>
    <t>79,830</t>
  </si>
  <si>
    <t>2,705</t>
  </si>
  <si>
    <t>34,685</t>
  </si>
  <si>
    <t>340</t>
  </si>
  <si>
    <t>1,320</t>
  </si>
  <si>
    <t>3,000</t>
  </si>
  <si>
    <t>1,985</t>
  </si>
  <si>
    <t>160</t>
  </si>
  <si>
    <t>90</t>
  </si>
  <si>
    <t>Industrial engineers, including health and safety 1430 (SOC 17-2110)</t>
  </si>
  <si>
    <t>33,355</t>
  </si>
  <si>
    <t>1,125</t>
  </si>
  <si>
    <t>940</t>
  </si>
  <si>
    <t>23,845</t>
  </si>
  <si>
    <t>2,300</t>
  </si>
  <si>
    <t>4,580</t>
  </si>
  <si>
    <t>Marine engineers and naval architects 1440 (SOC 17-2121)</t>
  </si>
  <si>
    <t>895</t>
  </si>
  <si>
    <t>710</t>
  </si>
  <si>
    <t>920</t>
  </si>
  <si>
    <t>730</t>
  </si>
  <si>
    <t>Materials engineers 1450 (SOC 17-2131)</t>
  </si>
  <si>
    <t>500</t>
  </si>
  <si>
    <t>3,955</t>
  </si>
  <si>
    <t>2,560</t>
  </si>
  <si>
    <t>Mechanical engineers 1460 (SOC 17-2141)</t>
  </si>
  <si>
    <t>185</t>
  </si>
  <si>
    <t>17,530</t>
  </si>
  <si>
    <t>525</t>
  </si>
  <si>
    <t>430</t>
  </si>
  <si>
    <t>12,960</t>
  </si>
  <si>
    <t>2,190</t>
  </si>
  <si>
    <t>Miscellaneous community and social service specialists, including health educators and community health workers 2025 (SOC 21-109X)</t>
  </si>
  <si>
    <t>55,130</t>
  </si>
  <si>
    <t>3,795</t>
  </si>
  <si>
    <t>3,070</t>
  </si>
  <si>
    <t>33,755</t>
  </si>
  <si>
    <t>10,740</t>
  </si>
  <si>
    <t>1,610</t>
  </si>
  <si>
    <t>200</t>
  </si>
  <si>
    <t>330</t>
  </si>
  <si>
    <t>Miscellaneous engineers, including nuclear engineers 1530 (SOC 17-21YY)</t>
  </si>
  <si>
    <t>1,240</t>
  </si>
  <si>
    <t>235</t>
  </si>
  <si>
    <t>55,520</t>
  </si>
  <si>
    <t>2,570</t>
  </si>
  <si>
    <t>1,095</t>
  </si>
  <si>
    <t>35,050</t>
  </si>
  <si>
    <t>4,070</t>
  </si>
  <si>
    <t>210</t>
  </si>
  <si>
    <t>11,540</t>
  </si>
  <si>
    <t>Nurse anesthetists 3256 (SOC 29-1151)</t>
  </si>
  <si>
    <t>13,335</t>
  </si>
  <si>
    <t>11,815</t>
  </si>
  <si>
    <t>485</t>
  </si>
  <si>
    <t>475</t>
  </si>
  <si>
    <t>305</t>
  </si>
  <si>
    <t>295</t>
  </si>
  <si>
    <t>Nurse practitioners and nurse midwives 3258 (SOC 29-11XX)</t>
  </si>
  <si>
    <t>75,865</t>
  </si>
  <si>
    <t>2,095</t>
  </si>
  <si>
    <t>65,165</t>
  </si>
  <si>
    <t>3,615</t>
  </si>
  <si>
    <t>240</t>
  </si>
  <si>
    <t>Other teachers and instructors 2340 (SOC 25-3000)</t>
  </si>
  <si>
    <t>536,940</t>
  </si>
  <si>
    <t>28,190</t>
  </si>
  <si>
    <t>18,710</t>
  </si>
  <si>
    <t>387,990</t>
  </si>
  <si>
    <t>57,815</t>
  </si>
  <si>
    <t>3,315</t>
  </si>
  <si>
    <t>29,920</t>
  </si>
  <si>
    <t>825</t>
  </si>
  <si>
    <t>1,900</t>
  </si>
  <si>
    <t>2,500</t>
  </si>
  <si>
    <t>2,100</t>
  </si>
  <si>
    <t>Petroleum, mining and geological engineers, including mining safety engineers 1520 (SOC 17-21XX)</t>
  </si>
  <si>
    <t>1,305</t>
  </si>
  <si>
    <t>3,080</t>
  </si>
  <si>
    <t>2,015</t>
  </si>
  <si>
    <t>480</t>
  </si>
  <si>
    <t>Preschool and kindergarten teachers 2300 (SOC 25-2010)</t>
  </si>
  <si>
    <t>576,760</t>
  </si>
  <si>
    <t>42,170</t>
  </si>
  <si>
    <t>25,780</t>
  </si>
  <si>
    <t>387,810</t>
  </si>
  <si>
    <t>91,940</t>
  </si>
  <si>
    <t>4,365</t>
  </si>
  <si>
    <t>16,550</t>
  </si>
  <si>
    <t>1,455</t>
  </si>
  <si>
    <t>1,975</t>
  </si>
  <si>
    <t>1,050</t>
  </si>
  <si>
    <t>Psychologists 1820 (SOC 19-3030)</t>
  </si>
  <si>
    <t>122,950</t>
  </si>
  <si>
    <t>5,025</t>
  </si>
  <si>
    <t>2,055</t>
  </si>
  <si>
    <t>104,605</t>
  </si>
  <si>
    <t>5,975</t>
  </si>
  <si>
    <t>3,400</t>
  </si>
  <si>
    <t>Registered nurses 3255 (SOC 29-1141)</t>
  </si>
  <si>
    <t>2,408,225</t>
  </si>
  <si>
    <t>71,070</t>
  </si>
  <si>
    <t>35,175</t>
  </si>
  <si>
    <t>1,839,985</t>
  </si>
  <si>
    <t>239,360</t>
  </si>
  <si>
    <t>9,280</t>
  </si>
  <si>
    <t>183,890</t>
  </si>
  <si>
    <t>1,930</t>
  </si>
  <si>
    <t>2,800</t>
  </si>
  <si>
    <t>8,045</t>
  </si>
  <si>
    <t>5,480</t>
  </si>
  <si>
    <t>Secondary school teachers 2320 (SOC 25-2030)</t>
  </si>
  <si>
    <t>476,390</t>
  </si>
  <si>
    <t>24,675</t>
  </si>
  <si>
    <t>12,790</t>
  </si>
  <si>
    <t>380,240</t>
  </si>
  <si>
    <t>38,665</t>
  </si>
  <si>
    <t>11,330</t>
  </si>
  <si>
    <t>780</t>
  </si>
  <si>
    <t>1,955</t>
  </si>
  <si>
    <t>1,335</t>
  </si>
  <si>
    <t>Social and human service assistants 2016 (SOC 21-1093)</t>
  </si>
  <si>
    <t>118,935</t>
  </si>
  <si>
    <t>10,220</t>
  </si>
  <si>
    <t>7,825</t>
  </si>
  <si>
    <t>66,700</t>
  </si>
  <si>
    <t>27,590</t>
  </si>
  <si>
    <t>1,640</t>
  </si>
  <si>
    <t>3,005</t>
  </si>
  <si>
    <t>Social workers 2010 (SOC 21-1020)</t>
  </si>
  <si>
    <t>619,640</t>
  </si>
  <si>
    <t>39,130</t>
  </si>
  <si>
    <t>28,400</t>
  </si>
  <si>
    <t>388,905</t>
  </si>
  <si>
    <t>132,520</t>
  </si>
  <si>
    <t>4,830</t>
  </si>
  <si>
    <t>14,765</t>
  </si>
  <si>
    <t>1,945</t>
  </si>
  <si>
    <t>2,660</t>
  </si>
  <si>
    <t>1,485</t>
  </si>
  <si>
    <t>Special education teachers 2330 (SOC 25-2050)</t>
  </si>
  <si>
    <t>194,550</t>
  </si>
  <si>
    <t>8,650</t>
  </si>
  <si>
    <t>4,615</t>
  </si>
  <si>
    <t>155,145</t>
  </si>
  <si>
    <t>18,250</t>
  </si>
  <si>
    <t>3,945</t>
  </si>
  <si>
    <t>350</t>
  </si>
  <si>
    <t>Surveying and mapping technicians 1560 (SOC 17-3031)</t>
  </si>
  <si>
    <t>8,190</t>
  </si>
  <si>
    <t>6,325</t>
  </si>
  <si>
    <t>Teacher assistants 2540 (SOC 25-9041)</t>
  </si>
  <si>
    <t>951,460</t>
  </si>
  <si>
    <t>82,580</t>
  </si>
  <si>
    <t>62,580</t>
  </si>
  <si>
    <t>630,010</t>
  </si>
  <si>
    <t>129,715</t>
  </si>
  <si>
    <t>8,205</t>
  </si>
  <si>
    <t>24,185</t>
  </si>
  <si>
    <t>1,530</t>
  </si>
  <si>
    <t>1,895</t>
  </si>
  <si>
    <t>1,570</t>
  </si>
  <si>
    <t>Total, all occupations</t>
  </si>
  <si>
    <t>72,714,390</t>
  </si>
  <si>
    <t>5,679,755</t>
  </si>
  <si>
    <t>3,899,080</t>
  </si>
  <si>
    <t>48,484,140</t>
  </si>
  <si>
    <t>9,419,090</t>
  </si>
  <si>
    <t>445,405</t>
  </si>
  <si>
    <t>3,548,085</t>
  </si>
  <si>
    <t>111,180</t>
  </si>
  <si>
    <t>172,975</t>
  </si>
  <si>
    <t>304,170</t>
  </si>
  <si>
    <t>207,365</t>
  </si>
  <si>
    <t>64,820</t>
  </si>
  <si>
    <t>2014-18</t>
  </si>
  <si>
    <t>Aerospace engineers</t>
  </si>
  <si>
    <t>Bioengineers, biomedical and agricultural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</si>
  <si>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</si>
  <si>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</si>
  <si>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</si>
  <si>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</si>
  <si>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</si>
  <si>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</si>
  <si>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</si>
  <si>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</si>
  <si>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</si>
  <si>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Petroleum, mining and geological engineers, including mining safety engineers</t>
  </si>
  <si>
    <t>Other engineers</t>
  </si>
  <si>
    <t>Drafters, engineering technicians, and mapping technicians</t>
  </si>
  <si>
    <t>Psychologists</t>
  </si>
  <si>
    <t>Counselors, social workers, and other community and social service specialists</t>
  </si>
  <si>
    <t>Preschool and kindergarten teachers</t>
  </si>
  <si>
    <t>Elementary and middle school teachers</t>
  </si>
  <si>
    <t>Secondary school teachers</t>
  </si>
  <si>
    <t>Special education teachers</t>
  </si>
  <si>
    <t>Teaching assistants</t>
  </si>
  <si>
    <t>Registered nurses</t>
  </si>
  <si>
    <t>Other nurses</t>
  </si>
  <si>
    <t>Nursing, psychiatric, and home health aides</t>
  </si>
  <si>
    <t>Personal appearance workers</t>
  </si>
  <si>
    <t>WOCA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</si>
</sst>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0" fillId="3" borderId="1" xfId="0" applyFill="1" applyBorder="1"/>
    <xf numFmtId="0" fontId="0" fillId="3" borderId="0" xfId="0" applyFill="1" applyBorder="1"/>
    <xf numFmtId="0" fontId="1" fillId="2" borderId="1" xfId="0" applyNumberFormat="1" applyFont="1" applyFill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/>
    </xf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0EE6-C816-4D45-B09D-ECC123C803C0}">
  <dimension ref="A1:C113"/>
  <sheetViews>
    <sheetView tabSelected="1" topLeftCell="A102" workbookViewId="0">
      <selection activeCell="F108" sqref="F108"/>
    </sheetView>
  </sheetViews>
  <sheetFormatPr defaultColWidth="17" defaultRowHeight="15"/>
  <sheetData>
    <row r="1" spans="1:3">
      <c r="A1" s="9" t="s">
        <v>7</v>
      </c>
      <c r="B1" s="10" t="s">
        <v>0</v>
      </c>
      <c r="C1" s="10" t="s">
        <v>8</v>
      </c>
    </row>
    <row r="2" spans="1:3">
      <c r="A2" s="8" t="s">
        <v>1</v>
      </c>
      <c r="B2" s="8" t="s">
        <v>14</v>
      </c>
      <c r="C2" s="6">
        <v>11140</v>
      </c>
    </row>
    <row r="3" spans="1:3">
      <c r="A3" s="1" t="s">
        <v>1</v>
      </c>
      <c r="B3" s="8" t="s">
        <v>14</v>
      </c>
      <c r="C3" s="6">
        <v>1680</v>
      </c>
    </row>
    <row r="4" spans="1:3">
      <c r="A4" s="1" t="s">
        <v>1</v>
      </c>
      <c r="B4" s="8" t="s">
        <v>14</v>
      </c>
      <c r="C4" s="6">
        <v>6315</v>
      </c>
    </row>
    <row r="5" spans="1:3">
      <c r="A5" s="1" t="s">
        <v>1</v>
      </c>
      <c r="B5" s="8" t="s">
        <v>14</v>
      </c>
      <c r="C5" s="6">
        <v>28570</v>
      </c>
    </row>
    <row r="6" spans="1:3">
      <c r="A6" s="1" t="s">
        <v>1</v>
      </c>
      <c r="B6" s="8" t="s">
        <v>14</v>
      </c>
      <c r="C6" s="6">
        <v>5910</v>
      </c>
    </row>
    <row r="7" spans="1:3">
      <c r="A7" s="1" t="s">
        <v>2</v>
      </c>
      <c r="B7" s="8" t="s">
        <v>14</v>
      </c>
      <c r="C7" s="6">
        <v>319025</v>
      </c>
    </row>
    <row r="8" spans="1:3">
      <c r="A8" s="1" t="s">
        <v>1</v>
      </c>
      <c r="B8" s="8" t="s">
        <v>14</v>
      </c>
      <c r="C8" s="6">
        <v>32480</v>
      </c>
    </row>
    <row r="9" spans="1:3">
      <c r="A9" s="1" t="s">
        <v>1</v>
      </c>
      <c r="B9" s="8" t="s">
        <v>14</v>
      </c>
      <c r="C9" s="6">
        <v>12335</v>
      </c>
    </row>
    <row r="10" spans="1:3">
      <c r="A10" s="1" t="s">
        <v>4</v>
      </c>
      <c r="B10" s="8" t="s">
        <v>14</v>
      </c>
      <c r="C10" s="6">
        <v>2197265</v>
      </c>
    </row>
    <row r="11" spans="1:3">
      <c r="A11" s="1" t="s">
        <v>1</v>
      </c>
      <c r="B11" s="8" t="s">
        <v>14</v>
      </c>
      <c r="C11" s="6">
        <v>55290</v>
      </c>
    </row>
    <row r="12" spans="1:3">
      <c r="A12" s="1" t="s">
        <v>1</v>
      </c>
      <c r="B12" s="8" t="s">
        <v>14</v>
      </c>
      <c r="C12" s="6">
        <v>6230</v>
      </c>
    </row>
    <row r="13" spans="1:3">
      <c r="A13" s="1" t="s">
        <v>5</v>
      </c>
      <c r="B13" s="8" t="s">
        <v>14</v>
      </c>
      <c r="C13" s="6">
        <v>494440</v>
      </c>
    </row>
    <row r="14" spans="1:3">
      <c r="A14" s="1" t="s">
        <v>1</v>
      </c>
      <c r="B14" s="8" t="s">
        <v>14</v>
      </c>
      <c r="C14" s="6">
        <v>23845</v>
      </c>
    </row>
    <row r="15" spans="1:3">
      <c r="A15" s="1" t="s">
        <v>1</v>
      </c>
      <c r="B15" s="8" t="s">
        <v>14</v>
      </c>
      <c r="C15" s="5">
        <v>730</v>
      </c>
    </row>
    <row r="16" spans="1:3">
      <c r="A16" s="1" t="s">
        <v>1</v>
      </c>
      <c r="B16" s="8" t="s">
        <v>14</v>
      </c>
      <c r="C16" s="6">
        <v>2560</v>
      </c>
    </row>
    <row r="17" spans="1:3">
      <c r="A17" s="1" t="s">
        <v>1</v>
      </c>
      <c r="B17" s="8" t="s">
        <v>14</v>
      </c>
      <c r="C17" s="6">
        <v>12960</v>
      </c>
    </row>
    <row r="18" spans="1:3">
      <c r="A18" s="1" t="s">
        <v>2</v>
      </c>
      <c r="B18" s="8" t="s">
        <v>14</v>
      </c>
      <c r="C18" s="6">
        <v>33755</v>
      </c>
    </row>
    <row r="19" spans="1:3">
      <c r="A19" s="1" t="s">
        <v>1</v>
      </c>
      <c r="B19" s="8" t="s">
        <v>14</v>
      </c>
      <c r="C19" s="6">
        <v>35050</v>
      </c>
    </row>
    <row r="20" spans="1:3">
      <c r="A20" s="1" t="s">
        <v>3</v>
      </c>
      <c r="B20" s="8" t="s">
        <v>14</v>
      </c>
      <c r="C20" s="6">
        <v>11815</v>
      </c>
    </row>
    <row r="21" spans="1:3">
      <c r="A21" s="1" t="s">
        <v>3</v>
      </c>
      <c r="B21" s="8" t="s">
        <v>14</v>
      </c>
      <c r="C21" s="6">
        <v>65165</v>
      </c>
    </row>
    <row r="22" spans="1:3">
      <c r="A22" s="1" t="s">
        <v>4</v>
      </c>
      <c r="B22" s="8" t="s">
        <v>14</v>
      </c>
      <c r="C22" s="6">
        <v>387990</v>
      </c>
    </row>
    <row r="23" spans="1:3">
      <c r="A23" s="1" t="s">
        <v>1</v>
      </c>
      <c r="B23" s="8" t="s">
        <v>14</v>
      </c>
      <c r="C23" s="6">
        <v>2015</v>
      </c>
    </row>
    <row r="24" spans="1:3">
      <c r="A24" s="1" t="s">
        <v>4</v>
      </c>
      <c r="B24" s="8" t="s">
        <v>14</v>
      </c>
      <c r="C24" s="6">
        <v>387810</v>
      </c>
    </row>
    <row r="25" spans="1:3">
      <c r="A25" s="1" t="s">
        <v>2</v>
      </c>
      <c r="B25" s="8" t="s">
        <v>14</v>
      </c>
      <c r="C25" s="6">
        <v>104605</v>
      </c>
    </row>
    <row r="26" spans="1:3">
      <c r="A26" s="1" t="s">
        <v>3</v>
      </c>
      <c r="B26" s="8" t="s">
        <v>14</v>
      </c>
      <c r="C26" s="6">
        <v>1839985</v>
      </c>
    </row>
    <row r="27" spans="1:3">
      <c r="A27" s="1" t="s">
        <v>4</v>
      </c>
      <c r="B27" s="8" t="s">
        <v>14</v>
      </c>
      <c r="C27" s="6">
        <v>380240</v>
      </c>
    </row>
    <row r="28" spans="1:3">
      <c r="A28" s="1" t="s">
        <v>2</v>
      </c>
      <c r="B28" s="8" t="s">
        <v>14</v>
      </c>
      <c r="C28" s="6">
        <v>66700</v>
      </c>
    </row>
    <row r="29" spans="1:3">
      <c r="A29" s="1" t="s">
        <v>2</v>
      </c>
      <c r="B29" s="8" t="s">
        <v>14</v>
      </c>
      <c r="C29" s="6">
        <v>388905</v>
      </c>
    </row>
    <row r="30" spans="1:3">
      <c r="A30" s="1" t="s">
        <v>4</v>
      </c>
      <c r="B30" s="8" t="s">
        <v>14</v>
      </c>
      <c r="C30" s="6">
        <v>155145</v>
      </c>
    </row>
    <row r="31" spans="1:3">
      <c r="A31" s="1" t="s">
        <v>1</v>
      </c>
      <c r="B31" s="8" t="s">
        <v>14</v>
      </c>
      <c r="C31" s="6">
        <v>6325</v>
      </c>
    </row>
    <row r="32" spans="1:3">
      <c r="A32" s="1" t="s">
        <v>4</v>
      </c>
      <c r="B32" s="8" t="s">
        <v>14</v>
      </c>
      <c r="C32" s="6">
        <v>630010</v>
      </c>
    </row>
    <row r="33" spans="1:3">
      <c r="A33" s="3" t="s">
        <v>1</v>
      </c>
      <c r="B33" s="8" t="s">
        <v>14</v>
      </c>
      <c r="C33" s="13">
        <v>10645</v>
      </c>
    </row>
    <row r="34" spans="1:3">
      <c r="A34" s="3" t="s">
        <v>1</v>
      </c>
      <c r="B34" s="8" t="s">
        <v>14</v>
      </c>
      <c r="C34" s="13">
        <v>1795</v>
      </c>
    </row>
    <row r="35" spans="1:3">
      <c r="A35" s="3" t="s">
        <v>1</v>
      </c>
      <c r="B35" s="8" t="s">
        <v>14</v>
      </c>
      <c r="C35" s="13">
        <v>7360</v>
      </c>
    </row>
    <row r="36" spans="1:3">
      <c r="A36" s="3" t="s">
        <v>1</v>
      </c>
      <c r="B36" s="8" t="s">
        <v>14</v>
      </c>
      <c r="C36" s="13">
        <v>33525</v>
      </c>
    </row>
    <row r="37" spans="1:3">
      <c r="A37" s="3" t="s">
        <v>1</v>
      </c>
      <c r="B37" s="8" t="s">
        <v>14</v>
      </c>
      <c r="C37" s="13">
        <v>3550</v>
      </c>
    </row>
    <row r="38" spans="1:3">
      <c r="A38" s="3" t="s">
        <v>1</v>
      </c>
      <c r="B38" s="8" t="s">
        <v>14</v>
      </c>
      <c r="C38" s="13">
        <v>10685</v>
      </c>
    </row>
    <row r="39" spans="1:3">
      <c r="A39" s="4" t="s">
        <v>1</v>
      </c>
      <c r="B39" s="8" t="s">
        <v>14</v>
      </c>
      <c r="C39" s="13">
        <v>6280</v>
      </c>
    </row>
    <row r="40" spans="1:3">
      <c r="A40" s="3" t="s">
        <v>1</v>
      </c>
      <c r="B40" s="8" t="s">
        <v>14</v>
      </c>
      <c r="C40" s="13">
        <v>27745</v>
      </c>
    </row>
    <row r="41" spans="1:3">
      <c r="A41" s="3" t="s">
        <v>1</v>
      </c>
      <c r="B41" s="8" t="s">
        <v>14</v>
      </c>
      <c r="C41" s="3">
        <v>835</v>
      </c>
    </row>
    <row r="42" spans="1:3">
      <c r="A42" s="3" t="s">
        <v>1</v>
      </c>
      <c r="B42" s="8" t="s">
        <v>14</v>
      </c>
      <c r="C42" s="13">
        <v>2910</v>
      </c>
    </row>
    <row r="43" spans="1:3">
      <c r="A43" s="4" t="s">
        <v>1</v>
      </c>
      <c r="B43" s="8" t="s">
        <v>14</v>
      </c>
      <c r="C43" s="13">
        <v>15150</v>
      </c>
    </row>
    <row r="44" spans="1:3">
      <c r="A44" s="3" t="s">
        <v>1</v>
      </c>
      <c r="B44" s="8" t="s">
        <v>14</v>
      </c>
      <c r="C44" s="13">
        <v>3115</v>
      </c>
    </row>
    <row r="45" spans="1:3">
      <c r="A45" s="3" t="s">
        <v>1</v>
      </c>
      <c r="B45" s="8" t="s">
        <v>14</v>
      </c>
      <c r="C45" s="13">
        <v>44890</v>
      </c>
    </row>
    <row r="46" spans="1:3">
      <c r="A46" s="3" t="s">
        <v>1</v>
      </c>
      <c r="B46" s="8" t="s">
        <v>14</v>
      </c>
      <c r="C46" s="13">
        <v>75875</v>
      </c>
    </row>
    <row r="47" spans="1:3">
      <c r="A47" s="3" t="s">
        <v>2</v>
      </c>
      <c r="B47" s="8" t="s">
        <v>14</v>
      </c>
      <c r="C47" s="13">
        <v>122610</v>
      </c>
    </row>
    <row r="48" spans="1:3">
      <c r="A48" s="3" t="s">
        <v>2</v>
      </c>
      <c r="B48" s="8" t="s">
        <v>14</v>
      </c>
      <c r="C48" s="13">
        <v>932655</v>
      </c>
    </row>
    <row r="49" spans="1:3">
      <c r="A49" s="3" t="s">
        <v>4</v>
      </c>
      <c r="B49" s="8" t="s">
        <v>14</v>
      </c>
      <c r="C49" s="13">
        <v>374035</v>
      </c>
    </row>
    <row r="50" spans="1:3">
      <c r="A50" s="3" t="s">
        <v>4</v>
      </c>
      <c r="B50" s="8" t="s">
        <v>14</v>
      </c>
      <c r="C50" s="13">
        <v>2283435</v>
      </c>
    </row>
    <row r="51" spans="1:3">
      <c r="A51" s="3" t="s">
        <v>4</v>
      </c>
      <c r="B51" s="8" t="s">
        <v>14</v>
      </c>
      <c r="C51" s="13">
        <v>358350</v>
      </c>
    </row>
    <row r="52" spans="1:3">
      <c r="A52" s="3" t="s">
        <v>4</v>
      </c>
      <c r="B52" s="8" t="s">
        <v>14</v>
      </c>
      <c r="C52" s="13">
        <v>175040</v>
      </c>
    </row>
    <row r="53" spans="1:3">
      <c r="A53" s="3" t="s">
        <v>4</v>
      </c>
      <c r="B53" s="8" t="s">
        <v>14</v>
      </c>
      <c r="C53" s="13">
        <v>649570</v>
      </c>
    </row>
    <row r="54" spans="1:3">
      <c r="A54" s="3" t="s">
        <v>3</v>
      </c>
      <c r="B54" s="8" t="s">
        <v>14</v>
      </c>
      <c r="C54" s="13">
        <v>2059395</v>
      </c>
    </row>
    <row r="55" spans="1:3">
      <c r="A55" s="3" t="s">
        <v>3</v>
      </c>
      <c r="B55" s="8" t="s">
        <v>14</v>
      </c>
      <c r="C55" s="13">
        <v>135330</v>
      </c>
    </row>
    <row r="56" spans="1:3">
      <c r="A56" s="3" t="s">
        <v>3</v>
      </c>
      <c r="B56" s="8" t="s">
        <v>14</v>
      </c>
      <c r="C56" s="13">
        <v>1335565</v>
      </c>
    </row>
    <row r="57" spans="1:3">
      <c r="A57" s="3" t="s">
        <v>5</v>
      </c>
      <c r="B57" s="8" t="s">
        <v>14</v>
      </c>
      <c r="C57" s="13">
        <v>639760</v>
      </c>
    </row>
    <row r="58" spans="1:3">
      <c r="A58" s="1" t="s">
        <v>1</v>
      </c>
      <c r="B58" s="7" t="s">
        <v>359</v>
      </c>
      <c r="C58">
        <v>4495</v>
      </c>
    </row>
    <row r="59" spans="1:3">
      <c r="A59" s="1" t="s">
        <v>1</v>
      </c>
      <c r="B59" s="7" t="s">
        <v>359</v>
      </c>
      <c r="C59">
        <v>535</v>
      </c>
    </row>
    <row r="60" spans="1:3">
      <c r="A60" s="1" t="s">
        <v>1</v>
      </c>
      <c r="B60" s="7" t="s">
        <v>359</v>
      </c>
      <c r="C60">
        <v>2524</v>
      </c>
    </row>
    <row r="61" spans="1:3">
      <c r="A61" s="1" t="s">
        <v>1</v>
      </c>
      <c r="B61" s="7" t="s">
        <v>359</v>
      </c>
      <c r="C61">
        <v>10044</v>
      </c>
    </row>
    <row r="62" spans="1:3">
      <c r="A62" s="1" t="s">
        <v>1</v>
      </c>
      <c r="B62" s="7" t="s">
        <v>359</v>
      </c>
      <c r="C62">
        <v>3965</v>
      </c>
    </row>
    <row r="63" spans="1:3">
      <c r="A63" s="1" t="s">
        <v>2</v>
      </c>
      <c r="B63" s="7" t="s">
        <v>359</v>
      </c>
      <c r="C63">
        <v>127065</v>
      </c>
    </row>
    <row r="64" spans="1:3">
      <c r="A64" s="1" t="s">
        <v>1</v>
      </c>
      <c r="B64" s="7" t="s">
        <v>359</v>
      </c>
      <c r="C64">
        <v>6990</v>
      </c>
    </row>
    <row r="65" spans="1:3">
      <c r="A65" s="1" t="s">
        <v>1</v>
      </c>
      <c r="B65" s="7" t="s">
        <v>359</v>
      </c>
      <c r="C65">
        <v>8525</v>
      </c>
    </row>
    <row r="66" spans="1:3">
      <c r="A66" s="1" t="s">
        <v>4</v>
      </c>
      <c r="B66" s="7" t="s">
        <v>359</v>
      </c>
      <c r="C66">
        <v>396575</v>
      </c>
    </row>
    <row r="67" spans="1:3">
      <c r="A67" s="1" t="s">
        <v>1</v>
      </c>
      <c r="B67" s="7" t="s">
        <v>359</v>
      </c>
      <c r="C67">
        <v>24690</v>
      </c>
    </row>
    <row r="68" spans="1:3">
      <c r="A68" s="1" t="s">
        <v>1</v>
      </c>
      <c r="B68" s="7" t="s">
        <v>359</v>
      </c>
      <c r="C68">
        <v>1970</v>
      </c>
    </row>
    <row r="69" spans="1:3">
      <c r="A69" s="1" t="s">
        <v>5</v>
      </c>
      <c r="B69" s="7" t="s">
        <v>359</v>
      </c>
      <c r="C69">
        <v>162570</v>
      </c>
    </row>
    <row r="70" spans="1:3">
      <c r="A70" s="1" t="s">
        <v>1</v>
      </c>
      <c r="B70" s="7" t="s">
        <v>359</v>
      </c>
      <c r="C70">
        <v>8265</v>
      </c>
    </row>
    <row r="71" spans="1:3">
      <c r="A71" s="1" t="s">
        <v>1</v>
      </c>
      <c r="B71" s="7" t="s">
        <v>359</v>
      </c>
      <c r="C71">
        <v>170</v>
      </c>
    </row>
    <row r="72" spans="1:3">
      <c r="A72" s="1" t="s">
        <v>1</v>
      </c>
      <c r="B72" s="7" t="s">
        <v>359</v>
      </c>
      <c r="C72">
        <v>1255</v>
      </c>
    </row>
    <row r="73" spans="1:3">
      <c r="A73" s="1" t="s">
        <v>1</v>
      </c>
      <c r="B73" s="7" t="s">
        <v>359</v>
      </c>
      <c r="C73">
        <v>3880</v>
      </c>
    </row>
    <row r="74" spans="1:3">
      <c r="A74" s="1" t="s">
        <v>2</v>
      </c>
      <c r="B74" s="7" t="s">
        <v>359</v>
      </c>
      <c r="C74">
        <v>17175</v>
      </c>
    </row>
    <row r="75" spans="1:3">
      <c r="A75" s="1" t="s">
        <v>1</v>
      </c>
      <c r="B75" s="7" t="s">
        <v>359</v>
      </c>
      <c r="C75">
        <v>17629</v>
      </c>
    </row>
    <row r="76" spans="1:3">
      <c r="A76" s="1" t="s">
        <v>3</v>
      </c>
      <c r="B76" s="7" t="s">
        <v>359</v>
      </c>
      <c r="C76">
        <v>1280</v>
      </c>
    </row>
    <row r="77" spans="1:3">
      <c r="A77" s="1" t="s">
        <v>3</v>
      </c>
      <c r="B77" s="7" t="s">
        <v>359</v>
      </c>
      <c r="C77">
        <v>8305</v>
      </c>
    </row>
    <row r="78" spans="1:3">
      <c r="A78" s="1" t="s">
        <v>4</v>
      </c>
      <c r="B78" s="7" t="s">
        <v>359</v>
      </c>
      <c r="C78">
        <v>117700</v>
      </c>
    </row>
    <row r="79" spans="1:3">
      <c r="A79" s="1" t="s">
        <v>1</v>
      </c>
      <c r="B79" s="7" t="s">
        <v>359</v>
      </c>
      <c r="C79">
        <v>815</v>
      </c>
    </row>
    <row r="80" spans="1:3">
      <c r="A80" s="1" t="s">
        <v>4</v>
      </c>
      <c r="B80" s="7" t="s">
        <v>359</v>
      </c>
      <c r="C80">
        <v>144280</v>
      </c>
    </row>
    <row r="81" spans="1:3">
      <c r="A81" s="1" t="s">
        <v>2</v>
      </c>
      <c r="B81" s="7" t="s">
        <v>359</v>
      </c>
      <c r="C81">
        <v>12985</v>
      </c>
    </row>
    <row r="82" spans="1:3">
      <c r="A82" s="1" t="s">
        <v>3</v>
      </c>
      <c r="B82" s="7" t="s">
        <v>359</v>
      </c>
      <c r="C82">
        <v>487265</v>
      </c>
    </row>
    <row r="83" spans="1:3">
      <c r="A83" s="1" t="s">
        <v>4</v>
      </c>
      <c r="B83" s="7" t="s">
        <v>359</v>
      </c>
      <c r="C83">
        <v>69570</v>
      </c>
    </row>
    <row r="84" spans="1:3">
      <c r="A84" s="1" t="s">
        <v>2</v>
      </c>
      <c r="B84" s="7" t="s">
        <v>359</v>
      </c>
      <c r="C84">
        <v>41510</v>
      </c>
    </row>
    <row r="85" spans="1:3">
      <c r="A85" s="1" t="s">
        <v>2</v>
      </c>
      <c r="B85" s="7" t="s">
        <v>359</v>
      </c>
      <c r="C85">
        <v>188490</v>
      </c>
    </row>
    <row r="86" spans="1:3">
      <c r="A86" s="1" t="s">
        <v>4</v>
      </c>
      <c r="B86" s="7" t="s">
        <v>359</v>
      </c>
      <c r="C86">
        <v>30060</v>
      </c>
    </row>
    <row r="87" spans="1:3">
      <c r="A87" s="1" t="s">
        <v>1</v>
      </c>
      <c r="B87" s="7" t="s">
        <v>359</v>
      </c>
      <c r="C87">
        <v>1304</v>
      </c>
    </row>
    <row r="88" spans="1:3">
      <c r="A88" s="1" t="s">
        <v>4</v>
      </c>
      <c r="B88" s="7" t="s">
        <v>359</v>
      </c>
      <c r="C88">
        <v>234450</v>
      </c>
    </row>
    <row r="89" spans="1:3">
      <c r="A89" s="3" t="s">
        <v>1</v>
      </c>
      <c r="B89" s="7" t="s">
        <v>359</v>
      </c>
      <c r="C89">
        <v>5685</v>
      </c>
    </row>
    <row r="90" spans="1:3">
      <c r="A90" s="3" t="s">
        <v>1</v>
      </c>
      <c r="B90" s="7" t="s">
        <v>359</v>
      </c>
      <c r="C90">
        <v>1130</v>
      </c>
    </row>
    <row r="91" spans="1:3">
      <c r="A91" s="3" t="s">
        <v>1</v>
      </c>
      <c r="B91" s="7" t="s">
        <v>359</v>
      </c>
      <c r="C91">
        <v>4035</v>
      </c>
    </row>
    <row r="92" spans="1:3">
      <c r="A92" s="3" t="s">
        <v>1</v>
      </c>
      <c r="B92" s="7" t="s">
        <v>359</v>
      </c>
      <c r="C92">
        <v>15555</v>
      </c>
    </row>
    <row r="93" spans="1:3">
      <c r="A93" s="3" t="s">
        <v>1</v>
      </c>
      <c r="B93" s="7" t="s">
        <v>359</v>
      </c>
      <c r="C93">
        <v>4764</v>
      </c>
    </row>
    <row r="94" spans="1:3">
      <c r="A94" s="3" t="s">
        <v>1</v>
      </c>
      <c r="B94" s="7" t="s">
        <v>359</v>
      </c>
      <c r="C94">
        <v>9954</v>
      </c>
    </row>
    <row r="95" spans="1:3">
      <c r="A95" s="4" t="s">
        <v>1</v>
      </c>
      <c r="B95" s="7" t="s">
        <v>359</v>
      </c>
      <c r="C95">
        <v>2660</v>
      </c>
    </row>
    <row r="96" spans="1:3">
      <c r="A96" s="3" t="s">
        <v>1</v>
      </c>
      <c r="B96" s="7" t="s">
        <v>359</v>
      </c>
      <c r="C96">
        <v>15415</v>
      </c>
    </row>
    <row r="97" spans="1:3">
      <c r="A97" s="3" t="s">
        <v>1</v>
      </c>
      <c r="B97" s="7" t="s">
        <v>359</v>
      </c>
      <c r="C97">
        <v>590</v>
      </c>
    </row>
    <row r="98" spans="1:3">
      <c r="A98" s="3" t="s">
        <v>1</v>
      </c>
      <c r="B98" s="7" t="s">
        <v>359</v>
      </c>
      <c r="C98">
        <v>1825</v>
      </c>
    </row>
    <row r="99" spans="1:3">
      <c r="A99" s="4" t="s">
        <v>1</v>
      </c>
      <c r="B99" s="7" t="s">
        <v>359</v>
      </c>
      <c r="C99">
        <v>7745</v>
      </c>
    </row>
    <row r="100" spans="1:3">
      <c r="A100" s="3" t="s">
        <v>1</v>
      </c>
      <c r="B100" s="7" t="s">
        <v>359</v>
      </c>
      <c r="C100">
        <v>1640</v>
      </c>
    </row>
    <row r="101" spans="1:3">
      <c r="A101" s="3" t="s">
        <v>1</v>
      </c>
      <c r="B101" s="7" t="s">
        <v>359</v>
      </c>
      <c r="C101">
        <v>30970</v>
      </c>
    </row>
    <row r="102" spans="1:3">
      <c r="A102" s="3" t="s">
        <v>1</v>
      </c>
      <c r="B102" s="7" t="s">
        <v>359</v>
      </c>
      <c r="C102">
        <v>41185</v>
      </c>
    </row>
    <row r="103" spans="1:3">
      <c r="A103" s="3" t="s">
        <v>2</v>
      </c>
      <c r="B103" s="7" t="s">
        <v>359</v>
      </c>
      <c r="C103">
        <v>28730</v>
      </c>
    </row>
    <row r="104" spans="1:3">
      <c r="A104" s="3" t="s">
        <v>2</v>
      </c>
      <c r="B104" s="7" t="s">
        <v>359</v>
      </c>
      <c r="C104">
        <v>607925</v>
      </c>
    </row>
    <row r="105" spans="1:3">
      <c r="A105" s="3" t="s">
        <v>4</v>
      </c>
      <c r="B105" s="7" t="s">
        <v>359</v>
      </c>
      <c r="C105">
        <v>218885</v>
      </c>
    </row>
    <row r="106" spans="1:3">
      <c r="A106" s="3" t="s">
        <v>4</v>
      </c>
      <c r="B106" s="7" t="s">
        <v>359</v>
      </c>
      <c r="C106">
        <v>678375</v>
      </c>
    </row>
    <row r="107" spans="1:3">
      <c r="A107" s="3" t="s">
        <v>4</v>
      </c>
      <c r="B107" s="7" t="s">
        <v>359</v>
      </c>
      <c r="C107">
        <v>101040</v>
      </c>
    </row>
    <row r="108" spans="1:3">
      <c r="A108" s="3" t="s">
        <v>4</v>
      </c>
      <c r="B108" s="7" t="s">
        <v>359</v>
      </c>
      <c r="C108">
        <v>54285</v>
      </c>
    </row>
    <row r="109" spans="1:3">
      <c r="A109" s="3" t="s">
        <v>4</v>
      </c>
      <c r="B109" s="7" t="s">
        <v>359</v>
      </c>
      <c r="C109">
        <v>386990</v>
      </c>
    </row>
    <row r="110" spans="1:3">
      <c r="A110" s="3" t="s">
        <v>3</v>
      </c>
      <c r="B110" s="7" t="s">
        <v>359</v>
      </c>
      <c r="C110">
        <v>805850</v>
      </c>
    </row>
    <row r="111" spans="1:3">
      <c r="A111" s="3" t="s">
        <v>3</v>
      </c>
      <c r="B111" s="7" t="s">
        <v>359</v>
      </c>
      <c r="C111">
        <v>30730</v>
      </c>
    </row>
    <row r="112" spans="1:3">
      <c r="A112" s="3" t="s">
        <v>3</v>
      </c>
      <c r="B112" s="7" t="s">
        <v>359</v>
      </c>
      <c r="C112">
        <v>1774910</v>
      </c>
    </row>
    <row r="113" spans="1:3">
      <c r="A113" s="3" t="s">
        <v>5</v>
      </c>
      <c r="B113" s="7" t="s">
        <v>359</v>
      </c>
      <c r="C113">
        <v>492690</v>
      </c>
    </row>
  </sheetData>
  <sortState xmlns:xlrd2="http://schemas.microsoft.com/office/spreadsheetml/2017/richdata2" ref="A2:C57">
    <sortCondition ref="B2:B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E6B3-5DB3-44C0-BC40-6D1A98CA6A49}">
  <dimension ref="A1:O59"/>
  <sheetViews>
    <sheetView workbookViewId="0">
      <selection sqref="A1:XFD1048576"/>
    </sheetView>
  </sheetViews>
  <sheetFormatPr defaultColWidth="17" defaultRowHeight="15"/>
  <sheetData>
    <row r="1" spans="1:15">
      <c r="B1" s="11" t="s">
        <v>9</v>
      </c>
      <c r="C1" s="12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6</v>
      </c>
      <c r="O1" s="1" t="s">
        <v>21</v>
      </c>
    </row>
    <row r="2" spans="1:15">
      <c r="A2" t="s">
        <v>22</v>
      </c>
      <c r="B2" s="1" t="s">
        <v>23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</row>
    <row r="3" spans="1:15">
      <c r="A3" t="s">
        <v>22</v>
      </c>
      <c r="B3" s="1" t="s">
        <v>44</v>
      </c>
      <c r="C3" s="1" t="s">
        <v>31</v>
      </c>
      <c r="D3" s="1" t="s">
        <v>50</v>
      </c>
      <c r="E3" s="1" t="s">
        <v>48</v>
      </c>
      <c r="F3" s="1" t="s">
        <v>51</v>
      </c>
      <c r="G3" s="1" t="s">
        <v>52</v>
      </c>
      <c r="H3" s="1" t="s">
        <v>53</v>
      </c>
      <c r="I3" s="1" t="s">
        <v>39</v>
      </c>
      <c r="J3" s="1" t="s">
        <v>54</v>
      </c>
      <c r="K3" s="1" t="s">
        <v>39</v>
      </c>
      <c r="L3" s="1" t="s">
        <v>39</v>
      </c>
      <c r="M3" s="1" t="s">
        <v>39</v>
      </c>
      <c r="N3" s="1" t="s">
        <v>40</v>
      </c>
      <c r="O3" s="1" t="s">
        <v>39</v>
      </c>
    </row>
    <row r="4" spans="1:15">
      <c r="A4" t="s">
        <v>22</v>
      </c>
      <c r="B4" s="1" t="s">
        <v>55</v>
      </c>
      <c r="C4" s="1" t="s">
        <v>31</v>
      </c>
      <c r="D4" s="1" t="s">
        <v>59</v>
      </c>
      <c r="E4" s="1" t="s">
        <v>60</v>
      </c>
      <c r="F4" s="1" t="s">
        <v>34</v>
      </c>
      <c r="G4" s="1" t="s">
        <v>61</v>
      </c>
      <c r="H4" s="1" t="s">
        <v>62</v>
      </c>
      <c r="I4" s="1" t="s">
        <v>57</v>
      </c>
      <c r="J4" s="1" t="s">
        <v>63</v>
      </c>
      <c r="K4" s="1" t="s">
        <v>39</v>
      </c>
      <c r="L4" s="1" t="s">
        <v>40</v>
      </c>
      <c r="M4" s="1" t="s">
        <v>64</v>
      </c>
      <c r="N4" s="1" t="s">
        <v>40</v>
      </c>
      <c r="O4" s="1" t="s">
        <v>39</v>
      </c>
    </row>
    <row r="5" spans="1:15">
      <c r="A5" t="s">
        <v>22</v>
      </c>
      <c r="B5" s="1" t="s">
        <v>65</v>
      </c>
      <c r="C5" s="1" t="s">
        <v>31</v>
      </c>
      <c r="D5" s="1" t="s">
        <v>69</v>
      </c>
      <c r="E5" s="1" t="s">
        <v>27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40</v>
      </c>
      <c r="M5" s="1" t="s">
        <v>76</v>
      </c>
      <c r="N5" s="1" t="s">
        <v>77</v>
      </c>
      <c r="O5" s="1" t="s">
        <v>57</v>
      </c>
    </row>
    <row r="6" spans="1:15">
      <c r="A6" t="s">
        <v>22</v>
      </c>
      <c r="B6" s="1" t="s">
        <v>78</v>
      </c>
      <c r="C6" s="1" t="s">
        <v>31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79</v>
      </c>
      <c r="L6" s="1" t="s">
        <v>48</v>
      </c>
      <c r="M6" s="1" t="s">
        <v>47</v>
      </c>
      <c r="N6" s="1" t="s">
        <v>86</v>
      </c>
      <c r="O6" s="1" t="s">
        <v>79</v>
      </c>
    </row>
    <row r="7" spans="1:15">
      <c r="A7" t="s">
        <v>22</v>
      </c>
      <c r="B7" s="1" t="s">
        <v>88</v>
      </c>
      <c r="C7" s="1" t="s">
        <v>31</v>
      </c>
      <c r="D7" s="1" t="s">
        <v>89</v>
      </c>
      <c r="E7" s="1" t="s">
        <v>90</v>
      </c>
      <c r="F7" s="1" t="s">
        <v>91</v>
      </c>
      <c r="G7" s="1" t="s">
        <v>92</v>
      </c>
      <c r="H7" s="1" t="s">
        <v>93</v>
      </c>
      <c r="I7" s="1" t="s">
        <v>94</v>
      </c>
      <c r="J7" s="1" t="s">
        <v>95</v>
      </c>
      <c r="K7" s="1" t="s">
        <v>96</v>
      </c>
      <c r="L7" s="1" t="s">
        <v>46</v>
      </c>
      <c r="M7" s="1" t="s">
        <v>97</v>
      </c>
      <c r="N7" s="1" t="s">
        <v>98</v>
      </c>
      <c r="O7" s="1" t="s">
        <v>99</v>
      </c>
    </row>
    <row r="8" spans="1:15">
      <c r="A8" t="s">
        <v>22</v>
      </c>
      <c r="B8" s="1" t="s">
        <v>101</v>
      </c>
      <c r="C8" s="1" t="s">
        <v>31</v>
      </c>
      <c r="D8" s="1" t="s">
        <v>106</v>
      </c>
      <c r="E8" s="1" t="s">
        <v>107</v>
      </c>
      <c r="F8" s="1" t="s">
        <v>108</v>
      </c>
      <c r="G8" s="1" t="s">
        <v>109</v>
      </c>
      <c r="H8" s="1" t="s">
        <v>110</v>
      </c>
      <c r="I8" s="1" t="s">
        <v>83</v>
      </c>
      <c r="J8" s="1" t="s">
        <v>111</v>
      </c>
      <c r="K8" s="1" t="s">
        <v>41</v>
      </c>
      <c r="L8" s="1" t="s">
        <v>53</v>
      </c>
      <c r="M8" s="1" t="s">
        <v>112</v>
      </c>
      <c r="N8" s="1" t="s">
        <v>66</v>
      </c>
      <c r="O8" s="1" t="s">
        <v>64</v>
      </c>
    </row>
    <row r="9" spans="1:15">
      <c r="A9" t="s">
        <v>22</v>
      </c>
      <c r="B9" s="1" t="s">
        <v>113</v>
      </c>
      <c r="C9" s="1" t="s">
        <v>31</v>
      </c>
      <c r="D9" s="1" t="s">
        <v>115</v>
      </c>
      <c r="E9" s="1" t="s">
        <v>116</v>
      </c>
      <c r="F9" s="1" t="s">
        <v>117</v>
      </c>
      <c r="G9" s="1" t="s">
        <v>118</v>
      </c>
      <c r="H9" s="1" t="s">
        <v>119</v>
      </c>
      <c r="I9" s="1" t="s">
        <v>43</v>
      </c>
      <c r="J9" s="1" t="s">
        <v>120</v>
      </c>
      <c r="K9" s="1" t="s">
        <v>79</v>
      </c>
      <c r="L9" s="1" t="s">
        <v>39</v>
      </c>
      <c r="M9" s="1" t="s">
        <v>53</v>
      </c>
      <c r="N9" s="1" t="s">
        <v>26</v>
      </c>
      <c r="O9" s="1" t="s">
        <v>58</v>
      </c>
    </row>
    <row r="10" spans="1:15">
      <c r="A10" t="s">
        <v>22</v>
      </c>
      <c r="B10" s="1" t="s">
        <v>121</v>
      </c>
      <c r="C10" s="1" t="s">
        <v>31</v>
      </c>
      <c r="D10" s="1" t="s">
        <v>122</v>
      </c>
      <c r="E10" s="1" t="s">
        <v>123</v>
      </c>
      <c r="F10" s="1" t="s">
        <v>124</v>
      </c>
      <c r="G10" s="1" t="s">
        <v>125</v>
      </c>
      <c r="H10" s="1" t="s">
        <v>126</v>
      </c>
      <c r="I10" s="1" t="s">
        <v>81</v>
      </c>
      <c r="J10" s="1" t="s">
        <v>127</v>
      </c>
      <c r="K10" s="1" t="s">
        <v>128</v>
      </c>
      <c r="L10" s="1" t="s">
        <v>129</v>
      </c>
      <c r="M10" s="1" t="s">
        <v>130</v>
      </c>
      <c r="N10" s="1" t="s">
        <v>131</v>
      </c>
      <c r="O10" s="1" t="s">
        <v>132</v>
      </c>
    </row>
    <row r="11" spans="1:15">
      <c r="A11" t="s">
        <v>22</v>
      </c>
      <c r="B11" s="1" t="s">
        <v>133</v>
      </c>
      <c r="C11" s="1" t="s">
        <v>31</v>
      </c>
      <c r="D11" s="1" t="s">
        <v>136</v>
      </c>
      <c r="E11" s="1" t="s">
        <v>137</v>
      </c>
      <c r="F11" s="1" t="s">
        <v>138</v>
      </c>
      <c r="G11" s="1" t="s">
        <v>139</v>
      </c>
      <c r="H11" s="1" t="s">
        <v>140</v>
      </c>
      <c r="I11" s="1" t="s">
        <v>141</v>
      </c>
      <c r="J11" s="1" t="s">
        <v>142</v>
      </c>
      <c r="K11" s="1" t="s">
        <v>43</v>
      </c>
      <c r="L11" s="1" t="s">
        <v>83</v>
      </c>
      <c r="M11" s="1" t="s">
        <v>143</v>
      </c>
      <c r="N11" s="1" t="s">
        <v>144</v>
      </c>
      <c r="O11" s="1" t="s">
        <v>26</v>
      </c>
    </row>
    <row r="12" spans="1:15">
      <c r="A12" t="s">
        <v>22</v>
      </c>
      <c r="B12" s="1" t="s">
        <v>145</v>
      </c>
      <c r="C12" s="1" t="s">
        <v>31</v>
      </c>
      <c r="D12" s="1" t="s">
        <v>148</v>
      </c>
      <c r="E12" s="1" t="s">
        <v>149</v>
      </c>
      <c r="F12" s="1" t="s">
        <v>29</v>
      </c>
      <c r="G12" s="1" t="s">
        <v>150</v>
      </c>
      <c r="H12" s="1" t="s">
        <v>134</v>
      </c>
      <c r="I12" s="1" t="s">
        <v>86</v>
      </c>
      <c r="J12" s="1" t="s">
        <v>151</v>
      </c>
      <c r="K12" s="1" t="s">
        <v>53</v>
      </c>
      <c r="L12" s="1" t="s">
        <v>152</v>
      </c>
      <c r="M12" s="1" t="s">
        <v>47</v>
      </c>
      <c r="N12" s="1" t="s">
        <v>39</v>
      </c>
      <c r="O12" s="1" t="s">
        <v>39</v>
      </c>
    </row>
    <row r="13" spans="1:15">
      <c r="A13" t="s">
        <v>22</v>
      </c>
      <c r="B13" s="1" t="s">
        <v>153</v>
      </c>
      <c r="C13" s="1" t="s">
        <v>31</v>
      </c>
      <c r="D13" s="1" t="s">
        <v>154</v>
      </c>
      <c r="E13" s="1" t="s">
        <v>155</v>
      </c>
      <c r="F13" s="1" t="s">
        <v>156</v>
      </c>
      <c r="G13" s="1" t="s">
        <v>157</v>
      </c>
      <c r="H13" s="1" t="s">
        <v>158</v>
      </c>
      <c r="I13" s="1" t="s">
        <v>159</v>
      </c>
      <c r="J13" s="1" t="s">
        <v>160</v>
      </c>
      <c r="K13" s="1" t="s">
        <v>161</v>
      </c>
      <c r="L13" s="1" t="s">
        <v>162</v>
      </c>
      <c r="M13" s="1" t="s">
        <v>163</v>
      </c>
      <c r="N13" s="1" t="s">
        <v>164</v>
      </c>
      <c r="O13" s="1" t="s">
        <v>60</v>
      </c>
    </row>
    <row r="14" spans="1:15">
      <c r="A14" t="s">
        <v>22</v>
      </c>
      <c r="B14" s="1" t="s">
        <v>167</v>
      </c>
      <c r="C14" s="1" t="s">
        <v>31</v>
      </c>
      <c r="D14" s="1" t="s">
        <v>168</v>
      </c>
      <c r="E14" s="1" t="s">
        <v>169</v>
      </c>
      <c r="F14" s="1" t="s">
        <v>170</v>
      </c>
      <c r="G14" s="1" t="s">
        <v>171</v>
      </c>
      <c r="H14" s="1" t="s">
        <v>172</v>
      </c>
      <c r="I14" s="1" t="s">
        <v>41</v>
      </c>
      <c r="J14" s="1" t="s">
        <v>173</v>
      </c>
      <c r="K14" s="1" t="s">
        <v>58</v>
      </c>
      <c r="L14" s="1" t="s">
        <v>67</v>
      </c>
      <c r="M14" s="1" t="s">
        <v>25</v>
      </c>
      <c r="N14" s="1" t="s">
        <v>103</v>
      </c>
      <c r="O14" s="1" t="s">
        <v>39</v>
      </c>
    </row>
    <row r="15" spans="1:15">
      <c r="A15" t="s">
        <v>22</v>
      </c>
      <c r="B15" s="1" t="s">
        <v>174</v>
      </c>
      <c r="C15" s="1" t="s">
        <v>31</v>
      </c>
      <c r="D15" s="1" t="s">
        <v>177</v>
      </c>
      <c r="E15" s="1" t="s">
        <v>47</v>
      </c>
      <c r="F15" s="1" t="s">
        <v>39</v>
      </c>
      <c r="G15" s="1" t="s">
        <v>178</v>
      </c>
      <c r="H15" s="1" t="s">
        <v>147</v>
      </c>
      <c r="I15" s="1" t="s">
        <v>39</v>
      </c>
      <c r="J15" s="1" t="s">
        <v>166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</row>
    <row r="16" spans="1:15">
      <c r="A16" t="s">
        <v>22</v>
      </c>
      <c r="B16" s="1" t="s">
        <v>179</v>
      </c>
      <c r="C16" s="1" t="s">
        <v>31</v>
      </c>
      <c r="D16" s="1" t="s">
        <v>181</v>
      </c>
      <c r="E16" s="1" t="s">
        <v>114</v>
      </c>
      <c r="F16" s="1" t="s">
        <v>51</v>
      </c>
      <c r="G16" s="1" t="s">
        <v>182</v>
      </c>
      <c r="H16" s="1" t="s">
        <v>29</v>
      </c>
      <c r="I16" s="1" t="s">
        <v>79</v>
      </c>
      <c r="J16" s="1" t="s">
        <v>175</v>
      </c>
      <c r="K16" s="1" t="s">
        <v>39</v>
      </c>
      <c r="L16" s="1" t="s">
        <v>39</v>
      </c>
      <c r="M16" s="1" t="s">
        <v>64</v>
      </c>
      <c r="N16" s="1" t="s">
        <v>67</v>
      </c>
      <c r="O16" s="1" t="s">
        <v>39</v>
      </c>
    </row>
    <row r="17" spans="1:15">
      <c r="A17" t="s">
        <v>22</v>
      </c>
      <c r="B17" s="1" t="s">
        <v>183</v>
      </c>
      <c r="C17" s="1" t="s">
        <v>31</v>
      </c>
      <c r="D17" s="1" t="s">
        <v>185</v>
      </c>
      <c r="E17" s="1" t="s">
        <v>186</v>
      </c>
      <c r="F17" s="1" t="s">
        <v>187</v>
      </c>
      <c r="G17" s="1" t="s">
        <v>188</v>
      </c>
      <c r="H17" s="1" t="s">
        <v>56</v>
      </c>
      <c r="I17" s="1" t="s">
        <v>41</v>
      </c>
      <c r="J17" s="1" t="s">
        <v>189</v>
      </c>
      <c r="K17" s="1" t="s">
        <v>39</v>
      </c>
      <c r="L17" s="1" t="s">
        <v>53</v>
      </c>
      <c r="M17" s="1" t="s">
        <v>49</v>
      </c>
      <c r="N17" s="1" t="s">
        <v>43</v>
      </c>
      <c r="O17" s="1" t="s">
        <v>48</v>
      </c>
    </row>
    <row r="18" spans="1:15">
      <c r="A18" t="s">
        <v>22</v>
      </c>
      <c r="B18" s="1" t="s">
        <v>190</v>
      </c>
      <c r="C18" s="1" t="s">
        <v>31</v>
      </c>
      <c r="D18" s="1" t="s">
        <v>191</v>
      </c>
      <c r="E18" s="1" t="s">
        <v>192</v>
      </c>
      <c r="F18" s="1" t="s">
        <v>193</v>
      </c>
      <c r="G18" s="1" t="s">
        <v>194</v>
      </c>
      <c r="H18" s="1" t="s">
        <v>195</v>
      </c>
      <c r="I18" s="1" t="s">
        <v>102</v>
      </c>
      <c r="J18" s="1" t="s">
        <v>196</v>
      </c>
      <c r="K18" s="1" t="s">
        <v>37</v>
      </c>
      <c r="L18" s="1" t="s">
        <v>165</v>
      </c>
      <c r="M18" s="1" t="s">
        <v>161</v>
      </c>
      <c r="N18" s="1" t="s">
        <v>197</v>
      </c>
      <c r="O18" s="1" t="s">
        <v>147</v>
      </c>
    </row>
    <row r="19" spans="1:15">
      <c r="A19" t="s">
        <v>22</v>
      </c>
      <c r="B19" s="1" t="s">
        <v>199</v>
      </c>
      <c r="C19" s="1" t="s">
        <v>31</v>
      </c>
      <c r="D19" s="1" t="s">
        <v>202</v>
      </c>
      <c r="E19" s="1" t="s">
        <v>203</v>
      </c>
      <c r="F19" s="1" t="s">
        <v>204</v>
      </c>
      <c r="G19" s="1" t="s">
        <v>205</v>
      </c>
      <c r="H19" s="1" t="s">
        <v>206</v>
      </c>
      <c r="I19" s="1" t="s">
        <v>207</v>
      </c>
      <c r="J19" s="1" t="s">
        <v>208</v>
      </c>
      <c r="K19" s="1" t="s">
        <v>166</v>
      </c>
      <c r="L19" s="1" t="s">
        <v>53</v>
      </c>
      <c r="M19" s="1" t="s">
        <v>144</v>
      </c>
      <c r="N19" s="1" t="s">
        <v>198</v>
      </c>
      <c r="O19" s="1" t="s">
        <v>57</v>
      </c>
    </row>
    <row r="20" spans="1:15">
      <c r="A20" t="s">
        <v>22</v>
      </c>
      <c r="B20" s="1" t="s">
        <v>209</v>
      </c>
      <c r="C20" s="1" t="s">
        <v>31</v>
      </c>
      <c r="D20" s="1" t="s">
        <v>210</v>
      </c>
      <c r="E20" s="1" t="s">
        <v>26</v>
      </c>
      <c r="F20" s="1" t="s">
        <v>149</v>
      </c>
      <c r="G20" s="1" t="s">
        <v>211</v>
      </c>
      <c r="H20" s="1" t="s">
        <v>212</v>
      </c>
      <c r="I20" s="1" t="s">
        <v>39</v>
      </c>
      <c r="J20" s="1" t="s">
        <v>213</v>
      </c>
      <c r="K20" s="1" t="s">
        <v>39</v>
      </c>
      <c r="L20" s="1" t="s">
        <v>86</v>
      </c>
      <c r="M20" s="1" t="s">
        <v>64</v>
      </c>
      <c r="N20" s="1" t="s">
        <v>166</v>
      </c>
      <c r="O20" s="1" t="s">
        <v>39</v>
      </c>
    </row>
    <row r="21" spans="1:15">
      <c r="A21" t="s">
        <v>22</v>
      </c>
      <c r="B21" s="1" t="s">
        <v>216</v>
      </c>
      <c r="C21" s="1" t="s">
        <v>31</v>
      </c>
      <c r="D21" s="1" t="s">
        <v>217</v>
      </c>
      <c r="E21" s="1" t="s">
        <v>218</v>
      </c>
      <c r="F21" s="1" t="s">
        <v>104</v>
      </c>
      <c r="G21" s="1" t="s">
        <v>219</v>
      </c>
      <c r="H21" s="1" t="s">
        <v>220</v>
      </c>
      <c r="I21" s="1" t="s">
        <v>58</v>
      </c>
      <c r="J21" s="1" t="s">
        <v>129</v>
      </c>
      <c r="K21" s="1" t="s">
        <v>47</v>
      </c>
      <c r="L21" s="1" t="s">
        <v>147</v>
      </c>
      <c r="M21" s="1" t="s">
        <v>112</v>
      </c>
      <c r="N21" s="1" t="s">
        <v>221</v>
      </c>
      <c r="O21" s="1" t="s">
        <v>41</v>
      </c>
    </row>
    <row r="22" spans="1:15">
      <c r="A22" t="s">
        <v>22</v>
      </c>
      <c r="B22" s="1" t="s">
        <v>222</v>
      </c>
      <c r="C22" s="1" t="s">
        <v>31</v>
      </c>
      <c r="D22" s="1" t="s">
        <v>223</v>
      </c>
      <c r="E22" s="1" t="s">
        <v>224</v>
      </c>
      <c r="F22" s="1" t="s">
        <v>225</v>
      </c>
      <c r="G22" s="1" t="s">
        <v>226</v>
      </c>
      <c r="H22" s="1" t="s">
        <v>227</v>
      </c>
      <c r="I22" s="1" t="s">
        <v>228</v>
      </c>
      <c r="J22" s="1" t="s">
        <v>229</v>
      </c>
      <c r="K22" s="1" t="s">
        <v>230</v>
      </c>
      <c r="L22" s="1" t="s">
        <v>231</v>
      </c>
      <c r="M22" s="1" t="s">
        <v>232</v>
      </c>
      <c r="N22" s="1" t="s">
        <v>233</v>
      </c>
      <c r="O22" s="1" t="s">
        <v>146</v>
      </c>
    </row>
    <row r="23" spans="1:15">
      <c r="A23" t="s">
        <v>22</v>
      </c>
      <c r="B23" s="1" t="s">
        <v>234</v>
      </c>
      <c r="C23" s="1" t="s">
        <v>31</v>
      </c>
      <c r="D23" s="1" t="s">
        <v>236</v>
      </c>
      <c r="E23" s="1" t="s">
        <v>83</v>
      </c>
      <c r="F23" s="1" t="s">
        <v>42</v>
      </c>
      <c r="G23" s="1" t="s">
        <v>237</v>
      </c>
      <c r="H23" s="1" t="s">
        <v>29</v>
      </c>
      <c r="I23" s="1" t="s">
        <v>48</v>
      </c>
      <c r="J23" s="1" t="s">
        <v>238</v>
      </c>
      <c r="K23" s="1" t="s">
        <v>39</v>
      </c>
      <c r="L23" s="1" t="s">
        <v>39</v>
      </c>
      <c r="M23" s="1" t="s">
        <v>47</v>
      </c>
      <c r="N23" s="1" t="s">
        <v>79</v>
      </c>
      <c r="O23" s="1" t="s">
        <v>39</v>
      </c>
    </row>
    <row r="24" spans="1:15">
      <c r="A24" t="s">
        <v>22</v>
      </c>
      <c r="B24" s="1" t="s">
        <v>239</v>
      </c>
      <c r="C24" s="1" t="s">
        <v>31</v>
      </c>
      <c r="D24" s="1" t="s">
        <v>240</v>
      </c>
      <c r="E24" s="1" t="s">
        <v>241</v>
      </c>
      <c r="F24" s="1" t="s">
        <v>242</v>
      </c>
      <c r="G24" s="1" t="s">
        <v>243</v>
      </c>
      <c r="H24" s="1" t="s">
        <v>244</v>
      </c>
      <c r="I24" s="1" t="s">
        <v>245</v>
      </c>
      <c r="J24" s="1" t="s">
        <v>246</v>
      </c>
      <c r="K24" s="1" t="s">
        <v>176</v>
      </c>
      <c r="L24" s="1" t="s">
        <v>247</v>
      </c>
      <c r="M24" s="1" t="s">
        <v>248</v>
      </c>
      <c r="N24" s="1" t="s">
        <v>249</v>
      </c>
      <c r="O24" s="1" t="s">
        <v>100</v>
      </c>
    </row>
    <row r="25" spans="1:15">
      <c r="A25" t="s">
        <v>22</v>
      </c>
      <c r="B25" s="1" t="s">
        <v>250</v>
      </c>
      <c r="C25" s="1" t="s">
        <v>31</v>
      </c>
      <c r="D25" s="1" t="s">
        <v>251</v>
      </c>
      <c r="E25" s="1" t="s">
        <v>252</v>
      </c>
      <c r="F25" s="1" t="s">
        <v>253</v>
      </c>
      <c r="G25" s="1" t="s">
        <v>254</v>
      </c>
      <c r="H25" s="1" t="s">
        <v>255</v>
      </c>
      <c r="I25" s="1" t="s">
        <v>28</v>
      </c>
      <c r="J25" s="1" t="s">
        <v>256</v>
      </c>
      <c r="K25" s="1" t="s">
        <v>41</v>
      </c>
      <c r="L25" s="1" t="s">
        <v>80</v>
      </c>
      <c r="M25" s="1" t="s">
        <v>180</v>
      </c>
      <c r="N25" s="1" t="s">
        <v>187</v>
      </c>
      <c r="O25" s="1" t="s">
        <v>40</v>
      </c>
    </row>
    <row r="26" spans="1:15">
      <c r="A26" t="s">
        <v>22</v>
      </c>
      <c r="B26" s="1" t="s">
        <v>257</v>
      </c>
      <c r="C26" s="1" t="s">
        <v>31</v>
      </c>
      <c r="D26" s="1" t="s">
        <v>258</v>
      </c>
      <c r="E26" s="1" t="s">
        <v>259</v>
      </c>
      <c r="F26" s="1" t="s">
        <v>260</v>
      </c>
      <c r="G26" s="1" t="s">
        <v>261</v>
      </c>
      <c r="H26" s="1" t="s">
        <v>262</v>
      </c>
      <c r="I26" s="1" t="s">
        <v>263</v>
      </c>
      <c r="J26" s="1" t="s">
        <v>264</v>
      </c>
      <c r="K26" s="1" t="s">
        <v>265</v>
      </c>
      <c r="L26" s="1" t="s">
        <v>266</v>
      </c>
      <c r="M26" s="1" t="s">
        <v>267</v>
      </c>
      <c r="N26" s="1" t="s">
        <v>268</v>
      </c>
      <c r="O26" s="1" t="s">
        <v>235</v>
      </c>
    </row>
    <row r="27" spans="1:15">
      <c r="A27" t="s">
        <v>22</v>
      </c>
      <c r="B27" s="1" t="s">
        <v>269</v>
      </c>
      <c r="C27" s="1" t="s">
        <v>31</v>
      </c>
      <c r="D27" s="1" t="s">
        <v>270</v>
      </c>
      <c r="E27" s="1" t="s">
        <v>271</v>
      </c>
      <c r="F27" s="1" t="s">
        <v>272</v>
      </c>
      <c r="G27" s="1" t="s">
        <v>273</v>
      </c>
      <c r="H27" s="1" t="s">
        <v>274</v>
      </c>
      <c r="I27" s="1" t="s">
        <v>233</v>
      </c>
      <c r="J27" s="1" t="s">
        <v>275</v>
      </c>
      <c r="K27" s="1" t="s">
        <v>214</v>
      </c>
      <c r="L27" s="1" t="s">
        <v>276</v>
      </c>
      <c r="M27" s="1" t="s">
        <v>277</v>
      </c>
      <c r="N27" s="1" t="s">
        <v>278</v>
      </c>
      <c r="O27" s="1" t="s">
        <v>45</v>
      </c>
    </row>
    <row r="28" spans="1:15">
      <c r="A28" t="s">
        <v>22</v>
      </c>
      <c r="B28" s="1" t="s">
        <v>279</v>
      </c>
      <c r="C28" s="1" t="s">
        <v>31</v>
      </c>
      <c r="D28" s="1" t="s">
        <v>280</v>
      </c>
      <c r="E28" s="1" t="s">
        <v>281</v>
      </c>
      <c r="F28" s="1" t="s">
        <v>282</v>
      </c>
      <c r="G28" s="1" t="s">
        <v>283</v>
      </c>
      <c r="H28" s="1" t="s">
        <v>284</v>
      </c>
      <c r="I28" s="1" t="s">
        <v>285</v>
      </c>
      <c r="J28" s="1" t="s">
        <v>286</v>
      </c>
      <c r="K28" s="1" t="s">
        <v>29</v>
      </c>
      <c r="L28" s="1" t="s">
        <v>24</v>
      </c>
      <c r="M28" s="1" t="s">
        <v>187</v>
      </c>
      <c r="N28" s="1" t="s">
        <v>83</v>
      </c>
      <c r="O28" s="1" t="s">
        <v>201</v>
      </c>
    </row>
    <row r="29" spans="1:15">
      <c r="A29" t="s">
        <v>22</v>
      </c>
      <c r="B29" s="1" t="s">
        <v>287</v>
      </c>
      <c r="C29" s="1" t="s">
        <v>31</v>
      </c>
      <c r="D29" s="1" t="s">
        <v>288</v>
      </c>
      <c r="E29" s="1" t="s">
        <v>289</v>
      </c>
      <c r="F29" s="1" t="s">
        <v>290</v>
      </c>
      <c r="G29" s="1" t="s">
        <v>291</v>
      </c>
      <c r="H29" s="1" t="s">
        <v>292</v>
      </c>
      <c r="I29" s="1" t="s">
        <v>293</v>
      </c>
      <c r="J29" s="1" t="s">
        <v>294</v>
      </c>
      <c r="K29" s="1" t="s">
        <v>30</v>
      </c>
      <c r="L29" s="1" t="s">
        <v>295</v>
      </c>
      <c r="M29" s="1" t="s">
        <v>296</v>
      </c>
      <c r="N29" s="1" t="s">
        <v>297</v>
      </c>
      <c r="O29" s="1" t="s">
        <v>200</v>
      </c>
    </row>
    <row r="30" spans="1:15">
      <c r="A30" t="s">
        <v>22</v>
      </c>
      <c r="B30" s="1" t="s">
        <v>298</v>
      </c>
      <c r="C30" s="1" t="s">
        <v>31</v>
      </c>
      <c r="D30" s="1" t="s">
        <v>299</v>
      </c>
      <c r="E30" s="1" t="s">
        <v>300</v>
      </c>
      <c r="F30" s="1" t="s">
        <v>301</v>
      </c>
      <c r="G30" s="1" t="s">
        <v>302</v>
      </c>
      <c r="H30" s="1" t="s">
        <v>303</v>
      </c>
      <c r="I30" s="1" t="s">
        <v>135</v>
      </c>
      <c r="J30" s="1" t="s">
        <v>304</v>
      </c>
      <c r="K30" s="1" t="s">
        <v>184</v>
      </c>
      <c r="L30" s="1" t="s">
        <v>45</v>
      </c>
      <c r="M30" s="1" t="s">
        <v>204</v>
      </c>
      <c r="N30" s="1" t="s">
        <v>305</v>
      </c>
      <c r="O30" s="1" t="s">
        <v>103</v>
      </c>
    </row>
    <row r="31" spans="1:15">
      <c r="A31" t="s">
        <v>22</v>
      </c>
      <c r="B31" s="1" t="s">
        <v>306</v>
      </c>
      <c r="C31" s="1" t="s">
        <v>31</v>
      </c>
      <c r="D31" s="1" t="s">
        <v>307</v>
      </c>
      <c r="E31" s="1" t="s">
        <v>186</v>
      </c>
      <c r="F31" s="1" t="s">
        <v>144</v>
      </c>
      <c r="G31" s="1" t="s">
        <v>308</v>
      </c>
      <c r="H31" s="1" t="s">
        <v>105</v>
      </c>
      <c r="I31" s="1" t="s">
        <v>184</v>
      </c>
      <c r="J31" s="1" t="s">
        <v>215</v>
      </c>
      <c r="K31" s="1" t="s">
        <v>57</v>
      </c>
      <c r="L31" s="1" t="s">
        <v>39</v>
      </c>
      <c r="M31" s="1" t="s">
        <v>68</v>
      </c>
      <c r="N31" s="1" t="s">
        <v>39</v>
      </c>
      <c r="O31" s="1" t="s">
        <v>39</v>
      </c>
    </row>
    <row r="32" spans="1:15">
      <c r="A32" t="s">
        <v>22</v>
      </c>
      <c r="B32" s="1" t="s">
        <v>309</v>
      </c>
      <c r="C32" s="1" t="s">
        <v>31</v>
      </c>
      <c r="D32" s="1" t="s">
        <v>310</v>
      </c>
      <c r="E32" s="1" t="s">
        <v>311</v>
      </c>
      <c r="F32" s="1" t="s">
        <v>312</v>
      </c>
      <c r="G32" s="1" t="s">
        <v>313</v>
      </c>
      <c r="H32" s="1" t="s">
        <v>314</v>
      </c>
      <c r="I32" s="1" t="s">
        <v>315</v>
      </c>
      <c r="J32" s="1" t="s">
        <v>316</v>
      </c>
      <c r="K32" s="1" t="s">
        <v>317</v>
      </c>
      <c r="L32" s="1" t="s">
        <v>318</v>
      </c>
      <c r="M32" s="1" t="s">
        <v>304</v>
      </c>
      <c r="N32" s="1" t="s">
        <v>319</v>
      </c>
      <c r="O32" s="1" t="s">
        <v>230</v>
      </c>
    </row>
    <row r="33" spans="1:15">
      <c r="A33" t="s">
        <v>22</v>
      </c>
      <c r="B33" s="1" t="s">
        <v>320</v>
      </c>
      <c r="C33" s="1" t="s">
        <v>31</v>
      </c>
      <c r="D33" s="1" t="s">
        <v>321</v>
      </c>
      <c r="E33" s="1" t="s">
        <v>322</v>
      </c>
      <c r="F33" s="1" t="s">
        <v>323</v>
      </c>
      <c r="G33" s="1" t="s">
        <v>324</v>
      </c>
      <c r="H33" s="1" t="s">
        <v>325</v>
      </c>
      <c r="I33" s="1" t="s">
        <v>326</v>
      </c>
      <c r="J33" s="1" t="s">
        <v>327</v>
      </c>
      <c r="K33" s="1" t="s">
        <v>328</v>
      </c>
      <c r="L33" s="1" t="s">
        <v>329</v>
      </c>
      <c r="M33" s="1" t="s">
        <v>330</v>
      </c>
      <c r="N33" s="1" t="s">
        <v>331</v>
      </c>
      <c r="O33" s="1" t="s">
        <v>332</v>
      </c>
    </row>
    <row r="34" spans="1:15">
      <c r="A34" t="s">
        <v>333</v>
      </c>
      <c r="B34" s="3" t="s">
        <v>320</v>
      </c>
      <c r="C34" s="3" t="s">
        <v>31</v>
      </c>
      <c r="D34" s="13">
        <v>76896850</v>
      </c>
      <c r="E34" s="2"/>
      <c r="F34" s="13">
        <v>12091655</v>
      </c>
      <c r="G34" s="13">
        <v>47886060</v>
      </c>
      <c r="H34" s="13">
        <v>10248540</v>
      </c>
      <c r="I34" s="13">
        <v>454585</v>
      </c>
      <c r="J34" s="13">
        <v>4441485</v>
      </c>
      <c r="K34" s="13">
        <v>129895</v>
      </c>
      <c r="L34" s="13">
        <v>1644630</v>
      </c>
      <c r="M34" s="2"/>
      <c r="N34" s="2"/>
      <c r="O34" s="2"/>
    </row>
    <row r="35" spans="1:15">
      <c r="A35" t="s">
        <v>333</v>
      </c>
      <c r="B35" s="3" t="s">
        <v>334</v>
      </c>
      <c r="C35" s="3" t="s">
        <v>31</v>
      </c>
      <c r="D35" s="13">
        <v>16325</v>
      </c>
      <c r="E35" s="2"/>
      <c r="F35" s="13">
        <v>1440</v>
      </c>
      <c r="G35" s="13">
        <v>10645</v>
      </c>
      <c r="H35" s="13">
        <v>1185</v>
      </c>
      <c r="I35" s="3">
        <v>100</v>
      </c>
      <c r="J35" s="13">
        <v>2410</v>
      </c>
      <c r="K35" s="3">
        <v>25</v>
      </c>
      <c r="L35" s="3">
        <v>525</v>
      </c>
      <c r="M35" s="2"/>
      <c r="N35" s="2"/>
      <c r="O35" s="2"/>
    </row>
    <row r="36" spans="1:15">
      <c r="A36" t="s">
        <v>333</v>
      </c>
      <c r="B36" s="3" t="s">
        <v>335</v>
      </c>
      <c r="C36" s="3" t="s">
        <v>31</v>
      </c>
      <c r="D36" s="13">
        <v>2925</v>
      </c>
      <c r="E36" s="2"/>
      <c r="F36" s="3">
        <v>215</v>
      </c>
      <c r="G36" s="13">
        <v>1795</v>
      </c>
      <c r="H36" s="3">
        <v>170</v>
      </c>
      <c r="I36" s="3">
        <v>10</v>
      </c>
      <c r="J36" s="3">
        <v>665</v>
      </c>
      <c r="K36" s="3">
        <v>0</v>
      </c>
      <c r="L36" s="3">
        <v>70</v>
      </c>
      <c r="M36" s="2"/>
      <c r="N36" s="2"/>
      <c r="O36" s="2"/>
    </row>
    <row r="37" spans="1:15">
      <c r="A37" t="s">
        <v>333</v>
      </c>
      <c r="B37" s="3" t="s">
        <v>336</v>
      </c>
      <c r="C37" s="3" t="s">
        <v>31</v>
      </c>
      <c r="D37" s="13">
        <v>11395</v>
      </c>
      <c r="E37" s="2"/>
      <c r="F37" s="13">
        <v>1035</v>
      </c>
      <c r="G37" s="13">
        <v>7360</v>
      </c>
      <c r="H37" s="3">
        <v>590</v>
      </c>
      <c r="I37" s="3">
        <v>0</v>
      </c>
      <c r="J37" s="13">
        <v>2130</v>
      </c>
      <c r="K37" s="3">
        <v>0</v>
      </c>
      <c r="L37" s="3">
        <v>280</v>
      </c>
      <c r="M37" s="2"/>
      <c r="N37" s="2"/>
      <c r="O37" s="2"/>
    </row>
    <row r="38" spans="1:15">
      <c r="A38" t="s">
        <v>333</v>
      </c>
      <c r="B38" s="3" t="s">
        <v>337</v>
      </c>
      <c r="C38" s="3" t="s">
        <v>31</v>
      </c>
      <c r="D38" s="13">
        <v>49075</v>
      </c>
      <c r="E38" s="2"/>
      <c r="F38" s="13">
        <v>4770</v>
      </c>
      <c r="G38" s="13">
        <v>33525</v>
      </c>
      <c r="H38" s="13">
        <v>2790</v>
      </c>
      <c r="I38" s="3">
        <v>195</v>
      </c>
      <c r="J38" s="13">
        <v>6485</v>
      </c>
      <c r="K38" s="3">
        <v>65</v>
      </c>
      <c r="L38" s="13">
        <v>1250</v>
      </c>
      <c r="M38" s="2"/>
      <c r="N38" s="2"/>
      <c r="O38" s="2"/>
    </row>
    <row r="39" spans="1:15">
      <c r="A39" t="s">
        <v>333</v>
      </c>
      <c r="B39" s="3" t="s">
        <v>338</v>
      </c>
      <c r="C39" s="3" t="s">
        <v>31</v>
      </c>
      <c r="D39" s="13">
        <v>8315</v>
      </c>
      <c r="E39" s="2"/>
      <c r="F39" s="3">
        <v>565</v>
      </c>
      <c r="G39" s="13">
        <v>3550</v>
      </c>
      <c r="H39" s="3">
        <v>635</v>
      </c>
      <c r="I39" s="3">
        <v>4</v>
      </c>
      <c r="J39" s="13">
        <v>3385</v>
      </c>
      <c r="K39" s="3">
        <v>30</v>
      </c>
      <c r="L39" s="3">
        <v>145</v>
      </c>
      <c r="M39" s="2"/>
      <c r="N39" s="2"/>
      <c r="O39" s="2"/>
    </row>
    <row r="40" spans="1:15">
      <c r="A40" t="s">
        <v>333</v>
      </c>
      <c r="B40" s="3" t="s">
        <v>339</v>
      </c>
      <c r="C40" s="3" t="s">
        <v>31</v>
      </c>
      <c r="D40" s="13">
        <v>20645</v>
      </c>
      <c r="E40" s="2"/>
      <c r="F40" s="13">
        <v>1910</v>
      </c>
      <c r="G40" s="13">
        <v>10685</v>
      </c>
      <c r="H40" s="13">
        <v>1710</v>
      </c>
      <c r="I40" s="3">
        <v>50</v>
      </c>
      <c r="J40" s="13">
        <v>5885</v>
      </c>
      <c r="K40" s="3">
        <v>4</v>
      </c>
      <c r="L40" s="3">
        <v>395</v>
      </c>
      <c r="M40" s="2"/>
      <c r="N40" s="2"/>
      <c r="O40" s="2"/>
    </row>
    <row r="41" spans="1:15">
      <c r="A41" t="s">
        <v>333</v>
      </c>
      <c r="B41" s="3" t="s">
        <v>340</v>
      </c>
      <c r="C41" s="4" t="s">
        <v>31</v>
      </c>
      <c r="D41" s="13">
        <v>8940</v>
      </c>
      <c r="E41" s="2"/>
      <c r="F41" s="3">
        <v>670</v>
      </c>
      <c r="G41" s="13">
        <v>6280</v>
      </c>
      <c r="H41" s="3">
        <v>675</v>
      </c>
      <c r="I41" s="3">
        <v>45</v>
      </c>
      <c r="J41" s="13">
        <v>1070</v>
      </c>
      <c r="K41" s="3">
        <v>15</v>
      </c>
      <c r="L41" s="3">
        <v>185</v>
      </c>
      <c r="M41" s="2"/>
      <c r="N41" s="2"/>
      <c r="O41" s="2"/>
    </row>
    <row r="42" spans="1:15">
      <c r="A42" t="s">
        <v>333</v>
      </c>
      <c r="B42" s="3" t="s">
        <v>341</v>
      </c>
      <c r="C42" s="3" t="s">
        <v>31</v>
      </c>
      <c r="D42" s="13">
        <v>43160</v>
      </c>
      <c r="E42" s="2"/>
      <c r="F42" s="13">
        <v>3930</v>
      </c>
      <c r="G42" s="13">
        <v>27745</v>
      </c>
      <c r="H42" s="13">
        <v>3515</v>
      </c>
      <c r="I42" s="3">
        <v>115</v>
      </c>
      <c r="J42" s="13">
        <v>6720</v>
      </c>
      <c r="K42" s="3">
        <v>70</v>
      </c>
      <c r="L42" s="13">
        <v>1065</v>
      </c>
      <c r="M42" s="2"/>
      <c r="N42" s="2"/>
      <c r="O42" s="2"/>
    </row>
    <row r="43" spans="1:15">
      <c r="A43" t="s">
        <v>333</v>
      </c>
      <c r="B43" s="3" t="s">
        <v>342</v>
      </c>
      <c r="C43" s="3" t="s">
        <v>31</v>
      </c>
      <c r="D43" s="13">
        <v>1425</v>
      </c>
      <c r="E43" s="2"/>
      <c r="F43" s="3">
        <v>140</v>
      </c>
      <c r="G43" s="3">
        <v>835</v>
      </c>
      <c r="H43" s="3">
        <v>220</v>
      </c>
      <c r="I43" s="3">
        <v>0</v>
      </c>
      <c r="J43" s="3">
        <v>190</v>
      </c>
      <c r="K43" s="3">
        <v>15</v>
      </c>
      <c r="L43" s="3">
        <v>25</v>
      </c>
      <c r="M43" s="2"/>
      <c r="N43" s="2"/>
      <c r="O43" s="2"/>
    </row>
    <row r="44" spans="1:15">
      <c r="A44" t="s">
        <v>333</v>
      </c>
      <c r="B44" s="3" t="s">
        <v>343</v>
      </c>
      <c r="C44" s="3" t="s">
        <v>31</v>
      </c>
      <c r="D44" s="13">
        <v>4735</v>
      </c>
      <c r="E44" s="2"/>
      <c r="F44" s="3">
        <v>370</v>
      </c>
      <c r="G44" s="13">
        <v>2910</v>
      </c>
      <c r="H44" s="3">
        <v>350</v>
      </c>
      <c r="I44" s="3">
        <v>25</v>
      </c>
      <c r="J44" s="13">
        <v>1010</v>
      </c>
      <c r="K44" s="3">
        <v>0</v>
      </c>
      <c r="L44" s="3">
        <v>70</v>
      </c>
      <c r="M44" s="2"/>
      <c r="N44" s="2"/>
      <c r="O44" s="2"/>
    </row>
    <row r="45" spans="1:15">
      <c r="A45" t="s">
        <v>333</v>
      </c>
      <c r="B45" s="3" t="s">
        <v>344</v>
      </c>
      <c r="C45" s="4" t="s">
        <v>31</v>
      </c>
      <c r="D45" s="13">
        <v>22895</v>
      </c>
      <c r="E45" s="2"/>
      <c r="F45" s="13">
        <v>1705</v>
      </c>
      <c r="G45" s="13">
        <v>15150</v>
      </c>
      <c r="H45" s="13">
        <v>1190</v>
      </c>
      <c r="I45" s="3">
        <v>45</v>
      </c>
      <c r="J45" s="13">
        <v>4195</v>
      </c>
      <c r="K45" s="3">
        <v>15</v>
      </c>
      <c r="L45" s="3">
        <v>595</v>
      </c>
      <c r="M45" s="2"/>
      <c r="N45" s="2"/>
      <c r="O45" s="2"/>
    </row>
    <row r="46" spans="1:15">
      <c r="A46" t="s">
        <v>333</v>
      </c>
      <c r="B46" s="3" t="s">
        <v>345</v>
      </c>
      <c r="C46" s="3" t="s">
        <v>31</v>
      </c>
      <c r="D46" s="13">
        <v>4760</v>
      </c>
      <c r="E46" s="2"/>
      <c r="F46" s="3">
        <v>490</v>
      </c>
      <c r="G46" s="13">
        <v>3115</v>
      </c>
      <c r="H46" s="3">
        <v>290</v>
      </c>
      <c r="I46" s="3">
        <v>0</v>
      </c>
      <c r="J46" s="3">
        <v>735</v>
      </c>
      <c r="K46" s="3">
        <v>20</v>
      </c>
      <c r="L46" s="3">
        <v>105</v>
      </c>
      <c r="M46" s="2"/>
      <c r="N46" s="2"/>
      <c r="O46" s="2"/>
    </row>
    <row r="47" spans="1:15">
      <c r="A47" t="s">
        <v>333</v>
      </c>
      <c r="B47" s="3" t="s">
        <v>346</v>
      </c>
      <c r="C47" s="3" t="s">
        <v>31</v>
      </c>
      <c r="D47" s="13">
        <v>75865</v>
      </c>
      <c r="E47" s="2"/>
      <c r="F47" s="13">
        <v>5875</v>
      </c>
      <c r="G47" s="13">
        <v>44890</v>
      </c>
      <c r="H47" s="13">
        <v>4775</v>
      </c>
      <c r="I47" s="3">
        <v>260</v>
      </c>
      <c r="J47" s="13">
        <v>18040</v>
      </c>
      <c r="K47" s="3">
        <v>215</v>
      </c>
      <c r="L47" s="13">
        <v>1805</v>
      </c>
      <c r="M47" s="2"/>
      <c r="N47" s="2"/>
      <c r="O47" s="2"/>
    </row>
    <row r="48" spans="1:15">
      <c r="A48" t="s">
        <v>333</v>
      </c>
      <c r="B48" s="3" t="s">
        <v>347</v>
      </c>
      <c r="C48" s="3" t="s">
        <v>31</v>
      </c>
      <c r="D48" s="13">
        <v>117060</v>
      </c>
      <c r="E48" s="2"/>
      <c r="F48" s="13">
        <v>13695</v>
      </c>
      <c r="G48" s="13">
        <v>75875</v>
      </c>
      <c r="H48" s="13">
        <v>12005</v>
      </c>
      <c r="I48" s="3">
        <v>705</v>
      </c>
      <c r="J48" s="13">
        <v>11955</v>
      </c>
      <c r="K48" s="3">
        <v>170</v>
      </c>
      <c r="L48" s="13">
        <v>2655</v>
      </c>
      <c r="M48" s="2"/>
      <c r="N48" s="2"/>
      <c r="O48" s="2"/>
    </row>
    <row r="49" spans="1:15">
      <c r="A49" t="s">
        <v>333</v>
      </c>
      <c r="B49" s="3" t="s">
        <v>348</v>
      </c>
      <c r="C49" s="3" t="s">
        <v>31</v>
      </c>
      <c r="D49" s="13">
        <v>151340</v>
      </c>
      <c r="E49" s="2"/>
      <c r="F49" s="13">
        <v>12065</v>
      </c>
      <c r="G49" s="13">
        <v>122610</v>
      </c>
      <c r="H49" s="13">
        <v>8360</v>
      </c>
      <c r="I49" s="3">
        <v>170</v>
      </c>
      <c r="J49" s="13">
        <v>5070</v>
      </c>
      <c r="K49" s="3">
        <v>30</v>
      </c>
      <c r="L49" s="13">
        <v>3035</v>
      </c>
      <c r="M49" s="2"/>
      <c r="N49" s="2"/>
      <c r="O49" s="2"/>
    </row>
    <row r="50" spans="1:15">
      <c r="A50" t="s">
        <v>333</v>
      </c>
      <c r="B50" s="3" t="s">
        <v>349</v>
      </c>
      <c r="C50" s="3" t="s">
        <v>31</v>
      </c>
      <c r="D50" s="13">
        <v>1540580</v>
      </c>
      <c r="E50" s="2"/>
      <c r="F50" s="13">
        <v>208015</v>
      </c>
      <c r="G50" s="13">
        <v>932655</v>
      </c>
      <c r="H50" s="13">
        <v>304470</v>
      </c>
      <c r="I50" s="13">
        <v>13175</v>
      </c>
      <c r="J50" s="13">
        <v>46565</v>
      </c>
      <c r="K50" s="13">
        <v>2040</v>
      </c>
      <c r="L50" s="13">
        <v>33660</v>
      </c>
      <c r="M50" s="2"/>
      <c r="N50" s="2"/>
      <c r="O50" s="2"/>
    </row>
    <row r="51" spans="1:15">
      <c r="A51" t="s">
        <v>333</v>
      </c>
      <c r="B51" s="3" t="s">
        <v>350</v>
      </c>
      <c r="C51" s="3" t="s">
        <v>31</v>
      </c>
      <c r="D51" s="13">
        <v>592920</v>
      </c>
      <c r="E51" s="2"/>
      <c r="F51" s="13">
        <v>84855</v>
      </c>
      <c r="G51" s="13">
        <v>374035</v>
      </c>
      <c r="H51" s="13">
        <v>98635</v>
      </c>
      <c r="I51" s="13">
        <v>3780</v>
      </c>
      <c r="J51" s="13">
        <v>20125</v>
      </c>
      <c r="K51" s="3">
        <v>675</v>
      </c>
      <c r="L51" s="13">
        <v>10815</v>
      </c>
      <c r="M51" s="2"/>
      <c r="N51" s="2"/>
      <c r="O51" s="2"/>
    </row>
    <row r="52" spans="1:15">
      <c r="A52" t="s">
        <v>333</v>
      </c>
      <c r="B52" s="3" t="s">
        <v>351</v>
      </c>
      <c r="C52" s="3" t="s">
        <v>31</v>
      </c>
      <c r="D52" s="13">
        <v>2961805</v>
      </c>
      <c r="E52" s="2"/>
      <c r="F52" s="13">
        <v>277620</v>
      </c>
      <c r="G52" s="13">
        <v>2283435</v>
      </c>
      <c r="H52" s="13">
        <v>259915</v>
      </c>
      <c r="I52" s="13">
        <v>11565</v>
      </c>
      <c r="J52" s="13">
        <v>81375</v>
      </c>
      <c r="K52" s="13">
        <v>1990</v>
      </c>
      <c r="L52" s="13">
        <v>45910</v>
      </c>
      <c r="M52" s="2"/>
      <c r="N52" s="2"/>
      <c r="O52" s="2"/>
    </row>
    <row r="53" spans="1:15">
      <c r="A53" t="s">
        <v>333</v>
      </c>
      <c r="B53" s="3" t="s">
        <v>352</v>
      </c>
      <c r="C53" s="3" t="s">
        <v>31</v>
      </c>
      <c r="D53" s="13">
        <v>459395</v>
      </c>
      <c r="E53" s="2"/>
      <c r="F53" s="13">
        <v>40985</v>
      </c>
      <c r="G53" s="13">
        <v>358350</v>
      </c>
      <c r="H53" s="13">
        <v>34450</v>
      </c>
      <c r="I53" s="13">
        <v>1900</v>
      </c>
      <c r="J53" s="13">
        <v>15025</v>
      </c>
      <c r="K53" s="3">
        <v>380</v>
      </c>
      <c r="L53" s="13">
        <v>8300</v>
      </c>
      <c r="M53" s="2"/>
      <c r="N53" s="2"/>
      <c r="O53" s="2"/>
    </row>
    <row r="54" spans="1:15">
      <c r="A54" t="s">
        <v>333</v>
      </c>
      <c r="B54" s="3" t="s">
        <v>353</v>
      </c>
      <c r="C54" s="3" t="s">
        <v>31</v>
      </c>
      <c r="D54" s="13">
        <v>229325</v>
      </c>
      <c r="E54" s="2"/>
      <c r="F54" s="13">
        <v>22045</v>
      </c>
      <c r="G54" s="13">
        <v>175040</v>
      </c>
      <c r="H54" s="13">
        <v>20730</v>
      </c>
      <c r="I54" s="13">
        <v>1090</v>
      </c>
      <c r="J54" s="13">
        <v>5955</v>
      </c>
      <c r="K54" s="3">
        <v>230</v>
      </c>
      <c r="L54" s="13">
        <v>4235</v>
      </c>
      <c r="M54" s="2"/>
      <c r="N54" s="2"/>
      <c r="O54" s="2"/>
    </row>
    <row r="55" spans="1:15">
      <c r="A55" t="s">
        <v>333</v>
      </c>
      <c r="B55" s="3" t="s">
        <v>354</v>
      </c>
      <c r="C55" s="3" t="s">
        <v>31</v>
      </c>
      <c r="D55" s="13">
        <v>1036565</v>
      </c>
      <c r="E55" s="2"/>
      <c r="F55" s="13">
        <v>180600</v>
      </c>
      <c r="G55" s="13">
        <v>649570</v>
      </c>
      <c r="H55" s="13">
        <v>134750</v>
      </c>
      <c r="I55" s="13">
        <v>7795</v>
      </c>
      <c r="J55" s="13">
        <v>41440</v>
      </c>
      <c r="K55" s="13">
        <v>1850</v>
      </c>
      <c r="L55" s="13">
        <v>20555</v>
      </c>
      <c r="M55" s="2"/>
      <c r="N55" s="2"/>
      <c r="O55" s="2"/>
    </row>
    <row r="56" spans="1:15">
      <c r="A56" t="s">
        <v>333</v>
      </c>
      <c r="B56" s="3" t="s">
        <v>355</v>
      </c>
      <c r="C56" s="3" t="s">
        <v>31</v>
      </c>
      <c r="D56" s="13">
        <v>2865240</v>
      </c>
      <c r="E56" s="2"/>
      <c r="F56" s="13">
        <v>187060</v>
      </c>
      <c r="G56" s="13">
        <v>2059395</v>
      </c>
      <c r="H56" s="13">
        <v>319390</v>
      </c>
      <c r="I56" s="13">
        <v>10910</v>
      </c>
      <c r="J56" s="13">
        <v>236875</v>
      </c>
      <c r="K56" s="13">
        <v>2625</v>
      </c>
      <c r="L56" s="13">
        <v>48990</v>
      </c>
      <c r="M56" s="2"/>
      <c r="N56" s="2"/>
      <c r="O56" s="2"/>
    </row>
    <row r="57" spans="1:15">
      <c r="A57" t="s">
        <v>333</v>
      </c>
      <c r="B57" s="3" t="s">
        <v>356</v>
      </c>
      <c r="C57" s="3" t="s">
        <v>31</v>
      </c>
      <c r="D57" s="13">
        <v>166055</v>
      </c>
      <c r="E57" s="2"/>
      <c r="F57" s="13">
        <v>7210</v>
      </c>
      <c r="G57" s="13">
        <v>135330</v>
      </c>
      <c r="H57" s="13">
        <v>11700</v>
      </c>
      <c r="I57" s="3">
        <v>340</v>
      </c>
      <c r="J57" s="13">
        <v>9055</v>
      </c>
      <c r="K57" s="3">
        <v>25</v>
      </c>
      <c r="L57" s="13">
        <v>2400</v>
      </c>
      <c r="M57" s="2"/>
      <c r="N57" s="2"/>
      <c r="O57" s="2"/>
    </row>
    <row r="58" spans="1:15">
      <c r="A58" t="s">
        <v>333</v>
      </c>
      <c r="B58" s="3" t="s">
        <v>357</v>
      </c>
      <c r="C58" s="3" t="s">
        <v>31</v>
      </c>
      <c r="D58" s="13">
        <v>3110470</v>
      </c>
      <c r="E58" s="2"/>
      <c r="F58" s="13">
        <v>552280</v>
      </c>
      <c r="G58" s="13">
        <v>1335565</v>
      </c>
      <c r="H58" s="13">
        <v>937290</v>
      </c>
      <c r="I58" s="13">
        <v>26945</v>
      </c>
      <c r="J58" s="13">
        <v>176625</v>
      </c>
      <c r="K58" s="13">
        <v>8895</v>
      </c>
      <c r="L58" s="13">
        <v>72875</v>
      </c>
      <c r="M58" s="2"/>
      <c r="N58" s="2"/>
      <c r="O58" s="2"/>
    </row>
    <row r="59" spans="1:15">
      <c r="A59" t="s">
        <v>333</v>
      </c>
      <c r="B59" s="3" t="s">
        <v>358</v>
      </c>
      <c r="C59" s="3" t="s">
        <v>31</v>
      </c>
      <c r="D59" s="13">
        <v>1132450</v>
      </c>
      <c r="E59" s="2"/>
      <c r="F59" s="13">
        <v>160550</v>
      </c>
      <c r="G59" s="13">
        <v>639760</v>
      </c>
      <c r="H59" s="13">
        <v>108575</v>
      </c>
      <c r="I59" s="13">
        <v>4285</v>
      </c>
      <c r="J59" s="13">
        <v>197290</v>
      </c>
      <c r="K59" s="13">
        <v>1100</v>
      </c>
      <c r="L59" s="13">
        <v>20890</v>
      </c>
      <c r="M59" s="2"/>
      <c r="N59" s="2"/>
      <c r="O59" s="2"/>
    </row>
  </sheetData>
  <sortState xmlns:xlrd2="http://schemas.microsoft.com/office/spreadsheetml/2017/richdata2" ref="A2:O59">
    <sortCondition ref="C2:C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9173-17A3-4A1B-BA26-7BFA706E244D}">
  <dimension ref="A1:O57"/>
  <sheetViews>
    <sheetView topLeftCell="D1" workbookViewId="0">
      <selection activeCell="O2" sqref="O2:O57"/>
    </sheetView>
  </sheetViews>
  <sheetFormatPr defaultColWidth="17" defaultRowHeight="15"/>
  <sheetData>
    <row r="1" spans="1:15">
      <c r="B1" s="11" t="s">
        <v>9</v>
      </c>
      <c r="C1" s="12" t="s">
        <v>10</v>
      </c>
      <c r="D1" s="1" t="s">
        <v>12</v>
      </c>
      <c r="E1" s="1" t="s">
        <v>14</v>
      </c>
      <c r="F1" s="1" t="s">
        <v>13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6</v>
      </c>
      <c r="N1" s="1" t="s">
        <v>21</v>
      </c>
    </row>
    <row r="2" spans="1:15">
      <c r="A2" t="s">
        <v>22</v>
      </c>
      <c r="B2" s="1" t="s">
        <v>23</v>
      </c>
      <c r="C2" s="1" t="s">
        <v>31</v>
      </c>
      <c r="D2" s="5">
        <v>725</v>
      </c>
      <c r="E2" s="6">
        <v>11140</v>
      </c>
      <c r="F2" s="5">
        <v>315</v>
      </c>
      <c r="G2" s="5">
        <v>840</v>
      </c>
      <c r="H2" s="5">
        <v>75</v>
      </c>
      <c r="I2" s="6">
        <v>3010</v>
      </c>
      <c r="J2" s="5">
        <v>0</v>
      </c>
      <c r="K2" s="5">
        <v>25</v>
      </c>
      <c r="L2" s="5">
        <v>35</v>
      </c>
      <c r="M2" s="5">
        <v>110</v>
      </c>
      <c r="N2" s="5">
        <v>85</v>
      </c>
      <c r="O2">
        <f>SUM(F2:N2)</f>
        <v>4495</v>
      </c>
    </row>
    <row r="3" spans="1:15">
      <c r="A3" t="s">
        <v>22</v>
      </c>
      <c r="B3" s="1" t="s">
        <v>44</v>
      </c>
      <c r="C3" s="1" t="s">
        <v>31</v>
      </c>
      <c r="D3" s="5">
        <v>30</v>
      </c>
      <c r="E3" s="6">
        <v>1680</v>
      </c>
      <c r="F3" s="5">
        <v>105</v>
      </c>
      <c r="G3" s="5">
        <v>40</v>
      </c>
      <c r="H3" s="5">
        <v>0</v>
      </c>
      <c r="I3" s="5">
        <v>365</v>
      </c>
      <c r="J3" s="5">
        <v>0</v>
      </c>
      <c r="K3" s="5">
        <v>0</v>
      </c>
      <c r="L3" s="5">
        <v>0</v>
      </c>
      <c r="M3" s="5">
        <v>25</v>
      </c>
      <c r="N3" s="5">
        <v>0</v>
      </c>
      <c r="O3">
        <f t="shared" ref="O3:O57" si="0">SUM(F3:N3)</f>
        <v>535</v>
      </c>
    </row>
    <row r="4" spans="1:15">
      <c r="A4" t="s">
        <v>22</v>
      </c>
      <c r="B4" s="1" t="s">
        <v>55</v>
      </c>
      <c r="C4" s="1" t="s">
        <v>31</v>
      </c>
      <c r="D4" s="5">
        <v>325</v>
      </c>
      <c r="E4" s="6">
        <v>6315</v>
      </c>
      <c r="F4" s="5">
        <v>315</v>
      </c>
      <c r="G4" s="5">
        <v>735</v>
      </c>
      <c r="H4" s="5">
        <v>4</v>
      </c>
      <c r="I4" s="6">
        <v>1405</v>
      </c>
      <c r="J4" s="5">
        <v>0</v>
      </c>
      <c r="K4" s="5">
        <v>25</v>
      </c>
      <c r="L4" s="5">
        <v>15</v>
      </c>
      <c r="M4" s="5">
        <v>25</v>
      </c>
      <c r="N4" s="5">
        <v>0</v>
      </c>
      <c r="O4">
        <f t="shared" si="0"/>
        <v>2524</v>
      </c>
    </row>
    <row r="5" spans="1:15">
      <c r="A5" t="s">
        <v>22</v>
      </c>
      <c r="B5" s="1" t="s">
        <v>65</v>
      </c>
      <c r="C5" s="1" t="s">
        <v>31</v>
      </c>
      <c r="D5" s="6">
        <v>2140</v>
      </c>
      <c r="E5" s="6">
        <v>28570</v>
      </c>
      <c r="F5" s="6">
        <v>1080</v>
      </c>
      <c r="G5" s="6">
        <v>2330</v>
      </c>
      <c r="H5" s="5">
        <v>135</v>
      </c>
      <c r="I5" s="6">
        <v>5735</v>
      </c>
      <c r="J5" s="5">
        <v>120</v>
      </c>
      <c r="K5" s="5">
        <v>25</v>
      </c>
      <c r="L5" s="5">
        <v>260</v>
      </c>
      <c r="M5" s="5">
        <v>355</v>
      </c>
      <c r="N5" s="5">
        <v>4</v>
      </c>
      <c r="O5">
        <f t="shared" si="0"/>
        <v>10044</v>
      </c>
    </row>
    <row r="6" spans="1:15">
      <c r="A6" t="s">
        <v>22</v>
      </c>
      <c r="B6" s="1" t="s">
        <v>78</v>
      </c>
      <c r="C6" s="1" t="s">
        <v>31</v>
      </c>
      <c r="D6" s="5">
        <v>425</v>
      </c>
      <c r="E6" s="6">
        <v>5910</v>
      </c>
      <c r="F6" s="5">
        <v>225</v>
      </c>
      <c r="G6" s="5">
        <v>845</v>
      </c>
      <c r="H6" s="5">
        <v>45</v>
      </c>
      <c r="I6" s="6">
        <v>2725</v>
      </c>
      <c r="J6" s="5">
        <v>20</v>
      </c>
      <c r="K6" s="5">
        <v>30</v>
      </c>
      <c r="L6" s="5">
        <v>10</v>
      </c>
      <c r="M6" s="5">
        <v>45</v>
      </c>
      <c r="N6" s="5">
        <v>20</v>
      </c>
      <c r="O6">
        <f t="shared" si="0"/>
        <v>3965</v>
      </c>
    </row>
    <row r="7" spans="1:15">
      <c r="A7" t="s">
        <v>22</v>
      </c>
      <c r="B7" s="1" t="s">
        <v>88</v>
      </c>
      <c r="C7" s="1" t="s">
        <v>31</v>
      </c>
      <c r="D7" s="6">
        <v>26465</v>
      </c>
      <c r="E7" s="6">
        <v>319025</v>
      </c>
      <c r="F7" s="6">
        <v>17720</v>
      </c>
      <c r="G7" s="6">
        <v>87735</v>
      </c>
      <c r="H7" s="6">
        <v>3820</v>
      </c>
      <c r="I7" s="6">
        <v>11250</v>
      </c>
      <c r="J7" s="5">
        <v>715</v>
      </c>
      <c r="K7" s="6">
        <v>1550</v>
      </c>
      <c r="L7" s="6">
        <v>2255</v>
      </c>
      <c r="M7" s="6">
        <v>1480</v>
      </c>
      <c r="N7" s="5">
        <v>540</v>
      </c>
      <c r="O7">
        <f t="shared" si="0"/>
        <v>127065</v>
      </c>
    </row>
    <row r="8" spans="1:15">
      <c r="A8" t="s">
        <v>22</v>
      </c>
      <c r="B8" s="1" t="s">
        <v>101</v>
      </c>
      <c r="C8" s="1" t="s">
        <v>31</v>
      </c>
      <c r="D8" s="6">
        <v>2295</v>
      </c>
      <c r="E8" s="6">
        <v>32480</v>
      </c>
      <c r="F8" s="6">
        <v>1280</v>
      </c>
      <c r="G8" s="6">
        <v>1820</v>
      </c>
      <c r="H8" s="5">
        <v>225</v>
      </c>
      <c r="I8" s="6">
        <v>3115</v>
      </c>
      <c r="J8" s="5">
        <v>35</v>
      </c>
      <c r="K8" s="5">
        <v>40</v>
      </c>
      <c r="L8" s="5">
        <v>280</v>
      </c>
      <c r="M8" s="5">
        <v>180</v>
      </c>
      <c r="N8" s="5">
        <v>15</v>
      </c>
      <c r="O8">
        <f t="shared" si="0"/>
        <v>6990</v>
      </c>
    </row>
    <row r="9" spans="1:15">
      <c r="A9" t="s">
        <v>22</v>
      </c>
      <c r="B9" s="1" t="s">
        <v>113</v>
      </c>
      <c r="C9" s="1" t="s">
        <v>31</v>
      </c>
      <c r="D9" s="6">
        <v>1070</v>
      </c>
      <c r="E9" s="6">
        <v>12335</v>
      </c>
      <c r="F9" s="5">
        <v>585</v>
      </c>
      <c r="G9" s="6">
        <v>1970</v>
      </c>
      <c r="H9" s="5">
        <v>85</v>
      </c>
      <c r="I9" s="6">
        <v>5570</v>
      </c>
      <c r="J9" s="5">
        <v>20</v>
      </c>
      <c r="K9" s="5">
        <v>0</v>
      </c>
      <c r="L9" s="5">
        <v>40</v>
      </c>
      <c r="M9" s="5">
        <v>190</v>
      </c>
      <c r="N9" s="5">
        <v>65</v>
      </c>
      <c r="O9">
        <f t="shared" si="0"/>
        <v>8525</v>
      </c>
    </row>
    <row r="10" spans="1:15">
      <c r="A10" t="s">
        <v>22</v>
      </c>
      <c r="B10" s="1" t="s">
        <v>121</v>
      </c>
      <c r="C10" s="1" t="s">
        <v>31</v>
      </c>
      <c r="D10" s="6">
        <v>134255</v>
      </c>
      <c r="E10" s="6">
        <v>2197265</v>
      </c>
      <c r="F10" s="6">
        <v>64775</v>
      </c>
      <c r="G10" s="6">
        <v>239930</v>
      </c>
      <c r="H10" s="6">
        <v>10345</v>
      </c>
      <c r="I10" s="6">
        <v>59675</v>
      </c>
      <c r="J10" s="6">
        <v>1780</v>
      </c>
      <c r="K10" s="6">
        <v>3305</v>
      </c>
      <c r="L10" s="6">
        <v>8555</v>
      </c>
      <c r="M10" s="6">
        <v>6055</v>
      </c>
      <c r="N10" s="6">
        <v>2155</v>
      </c>
      <c r="O10">
        <f t="shared" si="0"/>
        <v>396575</v>
      </c>
    </row>
    <row r="11" spans="1:15">
      <c r="A11" t="s">
        <v>22</v>
      </c>
      <c r="B11" s="1" t="s">
        <v>133</v>
      </c>
      <c r="C11" s="1" t="s">
        <v>31</v>
      </c>
      <c r="D11" s="6">
        <v>5160</v>
      </c>
      <c r="E11" s="6">
        <v>55290</v>
      </c>
      <c r="F11" s="6">
        <v>3500</v>
      </c>
      <c r="G11" s="6">
        <v>9650</v>
      </c>
      <c r="H11" s="5">
        <v>440</v>
      </c>
      <c r="I11" s="6">
        <v>9930</v>
      </c>
      <c r="J11" s="5">
        <v>85</v>
      </c>
      <c r="K11" s="5">
        <v>225</v>
      </c>
      <c r="L11" s="5">
        <v>420</v>
      </c>
      <c r="M11" s="5">
        <v>250</v>
      </c>
      <c r="N11" s="5">
        <v>190</v>
      </c>
      <c r="O11">
        <f t="shared" si="0"/>
        <v>24690</v>
      </c>
    </row>
    <row r="12" spans="1:15">
      <c r="A12" t="s">
        <v>22</v>
      </c>
      <c r="B12" s="1" t="s">
        <v>145</v>
      </c>
      <c r="C12" s="1" t="s">
        <v>31</v>
      </c>
      <c r="D12" s="5">
        <v>170</v>
      </c>
      <c r="E12" s="6">
        <v>6230</v>
      </c>
      <c r="F12" s="5">
        <v>165</v>
      </c>
      <c r="G12" s="5">
        <v>565</v>
      </c>
      <c r="H12" s="5">
        <v>45</v>
      </c>
      <c r="I12" s="6">
        <v>1075</v>
      </c>
      <c r="J12" s="5">
        <v>40</v>
      </c>
      <c r="K12" s="5">
        <v>70</v>
      </c>
      <c r="L12" s="5">
        <v>10</v>
      </c>
      <c r="M12" s="5">
        <v>0</v>
      </c>
      <c r="N12" s="5">
        <v>0</v>
      </c>
      <c r="O12">
        <f t="shared" si="0"/>
        <v>1970</v>
      </c>
    </row>
    <row r="13" spans="1:15">
      <c r="A13" t="s">
        <v>22</v>
      </c>
      <c r="B13" s="1" t="s">
        <v>153</v>
      </c>
      <c r="C13" s="1" t="s">
        <v>31</v>
      </c>
      <c r="D13" s="6">
        <v>54705</v>
      </c>
      <c r="E13" s="6">
        <v>494440</v>
      </c>
      <c r="F13" s="6">
        <v>38380</v>
      </c>
      <c r="G13" s="6">
        <v>79830</v>
      </c>
      <c r="H13" s="6">
        <v>2705</v>
      </c>
      <c r="I13" s="6">
        <v>34685</v>
      </c>
      <c r="J13" s="5">
        <v>340</v>
      </c>
      <c r="K13" s="6">
        <v>1320</v>
      </c>
      <c r="L13" s="6">
        <v>3000</v>
      </c>
      <c r="M13" s="6">
        <v>1985</v>
      </c>
      <c r="N13" s="5">
        <v>325</v>
      </c>
      <c r="O13">
        <f t="shared" si="0"/>
        <v>162570</v>
      </c>
    </row>
    <row r="14" spans="1:15">
      <c r="A14" t="s">
        <v>22</v>
      </c>
      <c r="B14" s="1" t="s">
        <v>167</v>
      </c>
      <c r="C14" s="1" t="s">
        <v>31</v>
      </c>
      <c r="D14" s="6">
        <v>1125</v>
      </c>
      <c r="E14" s="6">
        <v>23845</v>
      </c>
      <c r="F14" s="5">
        <v>940</v>
      </c>
      <c r="G14" s="6">
        <v>2300</v>
      </c>
      <c r="H14" s="5">
        <v>35</v>
      </c>
      <c r="I14" s="6">
        <v>4580</v>
      </c>
      <c r="J14" s="5">
        <v>65</v>
      </c>
      <c r="K14" s="5">
        <v>55</v>
      </c>
      <c r="L14" s="5">
        <v>140</v>
      </c>
      <c r="M14" s="5">
        <v>150</v>
      </c>
      <c r="N14" s="5">
        <v>0</v>
      </c>
      <c r="O14">
        <f t="shared" si="0"/>
        <v>8265</v>
      </c>
    </row>
    <row r="15" spans="1:15">
      <c r="A15" t="s">
        <v>22</v>
      </c>
      <c r="B15" s="1" t="s">
        <v>174</v>
      </c>
      <c r="C15" s="1" t="s">
        <v>31</v>
      </c>
      <c r="D15" s="5">
        <v>10</v>
      </c>
      <c r="E15" s="5">
        <v>730</v>
      </c>
      <c r="F15" s="5">
        <v>0</v>
      </c>
      <c r="G15" s="5">
        <v>80</v>
      </c>
      <c r="H15" s="5">
        <v>0</v>
      </c>
      <c r="I15" s="5">
        <v>90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>
        <f t="shared" si="0"/>
        <v>170</v>
      </c>
    </row>
    <row r="16" spans="1:15">
      <c r="A16" t="s">
        <v>22</v>
      </c>
      <c r="B16" s="1" t="s">
        <v>179</v>
      </c>
      <c r="C16" s="1" t="s">
        <v>31</v>
      </c>
      <c r="D16" s="5">
        <v>130</v>
      </c>
      <c r="E16" s="6">
        <v>2560</v>
      </c>
      <c r="F16" s="5">
        <v>105</v>
      </c>
      <c r="G16" s="5">
        <v>165</v>
      </c>
      <c r="H16" s="5">
        <v>20</v>
      </c>
      <c r="I16" s="5">
        <v>895</v>
      </c>
      <c r="J16" s="5">
        <v>0</v>
      </c>
      <c r="K16" s="5">
        <v>0</v>
      </c>
      <c r="L16" s="5">
        <v>15</v>
      </c>
      <c r="M16" s="5">
        <v>55</v>
      </c>
      <c r="N16" s="5">
        <v>0</v>
      </c>
      <c r="O16">
        <f t="shared" si="0"/>
        <v>1255</v>
      </c>
    </row>
    <row r="17" spans="1:15">
      <c r="A17" t="s">
        <v>22</v>
      </c>
      <c r="B17" s="1" t="s">
        <v>183</v>
      </c>
      <c r="C17" s="1" t="s">
        <v>31</v>
      </c>
      <c r="D17" s="5">
        <v>525</v>
      </c>
      <c r="E17" s="6">
        <v>12960</v>
      </c>
      <c r="F17" s="5">
        <v>430</v>
      </c>
      <c r="G17" s="6">
        <v>1010</v>
      </c>
      <c r="H17" s="5">
        <v>35</v>
      </c>
      <c r="I17" s="6">
        <v>2190</v>
      </c>
      <c r="J17" s="5">
        <v>0</v>
      </c>
      <c r="K17" s="5">
        <v>40</v>
      </c>
      <c r="L17" s="5">
        <v>60</v>
      </c>
      <c r="M17" s="5">
        <v>85</v>
      </c>
      <c r="N17" s="5">
        <v>30</v>
      </c>
      <c r="O17">
        <f t="shared" si="0"/>
        <v>3880</v>
      </c>
    </row>
    <row r="18" spans="1:15">
      <c r="A18" t="s">
        <v>22</v>
      </c>
      <c r="B18" s="1" t="s">
        <v>190</v>
      </c>
      <c r="C18" s="1" t="s">
        <v>31</v>
      </c>
      <c r="D18" s="6">
        <v>3795</v>
      </c>
      <c r="E18" s="6">
        <v>33755</v>
      </c>
      <c r="F18" s="6">
        <v>3070</v>
      </c>
      <c r="G18" s="6">
        <v>10740</v>
      </c>
      <c r="H18" s="5">
        <v>900</v>
      </c>
      <c r="I18" s="6">
        <v>1610</v>
      </c>
      <c r="J18" s="5">
        <v>75</v>
      </c>
      <c r="K18" s="5">
        <v>160</v>
      </c>
      <c r="L18" s="5">
        <v>340</v>
      </c>
      <c r="M18" s="5">
        <v>200</v>
      </c>
      <c r="N18" s="5">
        <v>80</v>
      </c>
      <c r="O18">
        <f t="shared" si="0"/>
        <v>17175</v>
      </c>
    </row>
    <row r="19" spans="1:15">
      <c r="A19" t="s">
        <v>22</v>
      </c>
      <c r="B19" s="1" t="s">
        <v>199</v>
      </c>
      <c r="C19" s="1" t="s">
        <v>31</v>
      </c>
      <c r="D19" s="6">
        <v>2570</v>
      </c>
      <c r="E19" s="6">
        <v>35050</v>
      </c>
      <c r="F19" s="6">
        <v>1095</v>
      </c>
      <c r="G19" s="6">
        <v>4070</v>
      </c>
      <c r="H19" s="5">
        <v>210</v>
      </c>
      <c r="I19" s="6">
        <v>11540</v>
      </c>
      <c r="J19" s="5">
        <v>90</v>
      </c>
      <c r="K19" s="5">
        <v>40</v>
      </c>
      <c r="L19" s="5">
        <v>250</v>
      </c>
      <c r="M19" s="5">
        <v>330</v>
      </c>
      <c r="N19" s="5">
        <v>4</v>
      </c>
      <c r="O19">
        <f t="shared" si="0"/>
        <v>17629</v>
      </c>
    </row>
    <row r="20" spans="1:15">
      <c r="A20" t="s">
        <v>22</v>
      </c>
      <c r="B20" s="1" t="s">
        <v>209</v>
      </c>
      <c r="C20" s="1" t="s">
        <v>31</v>
      </c>
      <c r="D20" s="5">
        <v>190</v>
      </c>
      <c r="E20" s="6">
        <v>11815</v>
      </c>
      <c r="F20" s="5">
        <v>170</v>
      </c>
      <c r="G20" s="5">
        <v>485</v>
      </c>
      <c r="H20" s="5">
        <v>0</v>
      </c>
      <c r="I20" s="5">
        <v>475</v>
      </c>
      <c r="J20" s="5">
        <v>0</v>
      </c>
      <c r="K20" s="5">
        <v>45</v>
      </c>
      <c r="L20" s="5">
        <v>15</v>
      </c>
      <c r="M20" s="5">
        <v>90</v>
      </c>
      <c r="N20" s="5">
        <v>0</v>
      </c>
      <c r="O20">
        <f t="shared" si="0"/>
        <v>1280</v>
      </c>
    </row>
    <row r="21" spans="1:15">
      <c r="A21" t="s">
        <v>22</v>
      </c>
      <c r="B21" s="1" t="s">
        <v>216</v>
      </c>
      <c r="C21" s="1" t="s">
        <v>31</v>
      </c>
      <c r="D21" s="6">
        <v>2095</v>
      </c>
      <c r="E21" s="6">
        <v>65165</v>
      </c>
      <c r="F21" s="5">
        <v>675</v>
      </c>
      <c r="G21" s="6">
        <v>3615</v>
      </c>
      <c r="H21" s="5">
        <v>65</v>
      </c>
      <c r="I21" s="6">
        <v>3305</v>
      </c>
      <c r="J21" s="5">
        <v>10</v>
      </c>
      <c r="K21" s="5">
        <v>80</v>
      </c>
      <c r="L21" s="5">
        <v>280</v>
      </c>
      <c r="M21" s="5">
        <v>240</v>
      </c>
      <c r="N21" s="5">
        <v>35</v>
      </c>
      <c r="O21">
        <f t="shared" si="0"/>
        <v>8305</v>
      </c>
    </row>
    <row r="22" spans="1:15">
      <c r="A22" t="s">
        <v>22</v>
      </c>
      <c r="B22" s="1" t="s">
        <v>222</v>
      </c>
      <c r="C22" s="1" t="s">
        <v>31</v>
      </c>
      <c r="D22" s="6">
        <v>28190</v>
      </c>
      <c r="E22" s="6">
        <v>387990</v>
      </c>
      <c r="F22" s="6">
        <v>18710</v>
      </c>
      <c r="G22" s="6">
        <v>57815</v>
      </c>
      <c r="H22" s="6">
        <v>3315</v>
      </c>
      <c r="I22" s="6">
        <v>29920</v>
      </c>
      <c r="J22" s="5">
        <v>825</v>
      </c>
      <c r="K22" s="6">
        <v>1900</v>
      </c>
      <c r="L22" s="6">
        <v>2500</v>
      </c>
      <c r="M22" s="6">
        <v>2100</v>
      </c>
      <c r="N22" s="5">
        <v>615</v>
      </c>
      <c r="O22">
        <f t="shared" si="0"/>
        <v>117700</v>
      </c>
    </row>
    <row r="23" spans="1:15">
      <c r="A23" t="s">
        <v>22</v>
      </c>
      <c r="B23" s="1" t="s">
        <v>234</v>
      </c>
      <c r="C23" s="1" t="s">
        <v>31</v>
      </c>
      <c r="D23" s="5">
        <v>225</v>
      </c>
      <c r="E23" s="6">
        <v>2015</v>
      </c>
      <c r="F23" s="5">
        <v>110</v>
      </c>
      <c r="G23" s="5">
        <v>165</v>
      </c>
      <c r="H23" s="5">
        <v>30</v>
      </c>
      <c r="I23" s="5">
        <v>480</v>
      </c>
      <c r="J23" s="5">
        <v>0</v>
      </c>
      <c r="K23" s="5">
        <v>0</v>
      </c>
      <c r="L23" s="5">
        <v>10</v>
      </c>
      <c r="M23" s="5">
        <v>20</v>
      </c>
      <c r="N23" s="5">
        <v>0</v>
      </c>
      <c r="O23">
        <f t="shared" si="0"/>
        <v>815</v>
      </c>
    </row>
    <row r="24" spans="1:15">
      <c r="A24" t="s">
        <v>22</v>
      </c>
      <c r="B24" s="1" t="s">
        <v>239</v>
      </c>
      <c r="C24" s="1" t="s">
        <v>31</v>
      </c>
      <c r="D24" s="6">
        <v>42170</v>
      </c>
      <c r="E24" s="6">
        <v>387810</v>
      </c>
      <c r="F24" s="6">
        <v>25780</v>
      </c>
      <c r="G24" s="6">
        <v>91940</v>
      </c>
      <c r="H24" s="6">
        <v>4365</v>
      </c>
      <c r="I24" s="6">
        <v>16550</v>
      </c>
      <c r="J24" s="5">
        <v>710</v>
      </c>
      <c r="K24" s="6">
        <v>1455</v>
      </c>
      <c r="L24" s="6">
        <v>1975</v>
      </c>
      <c r="M24" s="6">
        <v>1050</v>
      </c>
      <c r="N24" s="5">
        <v>455</v>
      </c>
      <c r="O24">
        <f t="shared" si="0"/>
        <v>144280</v>
      </c>
    </row>
    <row r="25" spans="1:15">
      <c r="A25" t="s">
        <v>22</v>
      </c>
      <c r="B25" s="1" t="s">
        <v>250</v>
      </c>
      <c r="C25" s="1" t="s">
        <v>31</v>
      </c>
      <c r="D25" s="6">
        <v>5025</v>
      </c>
      <c r="E25" s="6">
        <v>104605</v>
      </c>
      <c r="F25" s="6">
        <v>2055</v>
      </c>
      <c r="G25" s="6">
        <v>5975</v>
      </c>
      <c r="H25" s="5">
        <v>320</v>
      </c>
      <c r="I25" s="6">
        <v>3400</v>
      </c>
      <c r="J25" s="5">
        <v>35</v>
      </c>
      <c r="K25" s="5">
        <v>245</v>
      </c>
      <c r="L25" s="5">
        <v>500</v>
      </c>
      <c r="M25" s="5">
        <v>430</v>
      </c>
      <c r="N25" s="5">
        <v>25</v>
      </c>
      <c r="O25">
        <f t="shared" si="0"/>
        <v>12985</v>
      </c>
    </row>
    <row r="26" spans="1:15">
      <c r="A26" t="s">
        <v>22</v>
      </c>
      <c r="B26" s="1" t="s">
        <v>257</v>
      </c>
      <c r="C26" s="1" t="s">
        <v>31</v>
      </c>
      <c r="D26" s="6">
        <v>71070</v>
      </c>
      <c r="E26" s="6">
        <v>1839985</v>
      </c>
      <c r="F26" s="6">
        <v>35175</v>
      </c>
      <c r="G26" s="6">
        <v>239360</v>
      </c>
      <c r="H26" s="6">
        <v>9280</v>
      </c>
      <c r="I26" s="6">
        <v>183890</v>
      </c>
      <c r="J26" s="6">
        <v>1930</v>
      </c>
      <c r="K26" s="6">
        <v>2800</v>
      </c>
      <c r="L26" s="6">
        <v>8045</v>
      </c>
      <c r="M26" s="6">
        <v>5480</v>
      </c>
      <c r="N26" s="6">
        <v>1305</v>
      </c>
      <c r="O26">
        <f t="shared" si="0"/>
        <v>487265</v>
      </c>
    </row>
    <row r="27" spans="1:15">
      <c r="A27" t="s">
        <v>22</v>
      </c>
      <c r="B27" s="1" t="s">
        <v>269</v>
      </c>
      <c r="C27" s="1" t="s">
        <v>31</v>
      </c>
      <c r="D27" s="6">
        <v>24675</v>
      </c>
      <c r="E27" s="6">
        <v>380240</v>
      </c>
      <c r="F27" s="6">
        <v>12790</v>
      </c>
      <c r="G27" s="6">
        <v>38665</v>
      </c>
      <c r="H27" s="6">
        <v>2100</v>
      </c>
      <c r="I27" s="6">
        <v>11330</v>
      </c>
      <c r="J27" s="5">
        <v>305</v>
      </c>
      <c r="K27" s="5">
        <v>780</v>
      </c>
      <c r="L27" s="6">
        <v>1955</v>
      </c>
      <c r="M27" s="6">
        <v>1335</v>
      </c>
      <c r="N27" s="5">
        <v>310</v>
      </c>
      <c r="O27">
        <f t="shared" si="0"/>
        <v>69570</v>
      </c>
    </row>
    <row r="28" spans="1:15">
      <c r="A28" t="s">
        <v>22</v>
      </c>
      <c r="B28" s="1" t="s">
        <v>279</v>
      </c>
      <c r="C28" s="1" t="s">
        <v>31</v>
      </c>
      <c r="D28" s="6">
        <v>10220</v>
      </c>
      <c r="E28" s="6">
        <v>66700</v>
      </c>
      <c r="F28" s="6">
        <v>7825</v>
      </c>
      <c r="G28" s="6">
        <v>27590</v>
      </c>
      <c r="H28" s="6">
        <v>1640</v>
      </c>
      <c r="I28" s="6">
        <v>3005</v>
      </c>
      <c r="J28" s="5">
        <v>165</v>
      </c>
      <c r="K28" s="5">
        <v>395</v>
      </c>
      <c r="L28" s="5">
        <v>430</v>
      </c>
      <c r="M28" s="5">
        <v>225</v>
      </c>
      <c r="N28" s="5">
        <v>235</v>
      </c>
      <c r="O28">
        <f t="shared" si="0"/>
        <v>41510</v>
      </c>
    </row>
    <row r="29" spans="1:15">
      <c r="A29" t="s">
        <v>22</v>
      </c>
      <c r="B29" s="1" t="s">
        <v>287</v>
      </c>
      <c r="C29" s="1" t="s">
        <v>31</v>
      </c>
      <c r="D29" s="6">
        <v>39130</v>
      </c>
      <c r="E29" s="6">
        <v>388905</v>
      </c>
      <c r="F29" s="6">
        <v>28400</v>
      </c>
      <c r="G29" s="6">
        <v>132520</v>
      </c>
      <c r="H29" s="6">
        <v>4830</v>
      </c>
      <c r="I29" s="6">
        <v>14765</v>
      </c>
      <c r="J29" s="5">
        <v>645</v>
      </c>
      <c r="K29" s="6">
        <v>1945</v>
      </c>
      <c r="L29" s="6">
        <v>2660</v>
      </c>
      <c r="M29" s="6">
        <v>1485</v>
      </c>
      <c r="N29" s="6">
        <v>1240</v>
      </c>
      <c r="O29">
        <f t="shared" si="0"/>
        <v>188490</v>
      </c>
    </row>
    <row r="30" spans="1:15">
      <c r="A30" t="s">
        <v>22</v>
      </c>
      <c r="B30" s="1" t="s">
        <v>298</v>
      </c>
      <c r="C30" s="1" t="s">
        <v>31</v>
      </c>
      <c r="D30" s="6">
        <v>8650</v>
      </c>
      <c r="E30" s="6">
        <v>155145</v>
      </c>
      <c r="F30" s="6">
        <v>4615</v>
      </c>
      <c r="G30" s="6">
        <v>18250</v>
      </c>
      <c r="H30" s="6">
        <v>1160</v>
      </c>
      <c r="I30" s="6">
        <v>3945</v>
      </c>
      <c r="J30" s="5">
        <v>185</v>
      </c>
      <c r="K30" s="5">
        <v>310</v>
      </c>
      <c r="L30" s="6">
        <v>1095</v>
      </c>
      <c r="M30" s="5">
        <v>350</v>
      </c>
      <c r="N30" s="5">
        <v>150</v>
      </c>
      <c r="O30">
        <f t="shared" si="0"/>
        <v>30060</v>
      </c>
    </row>
    <row r="31" spans="1:15">
      <c r="A31" t="s">
        <v>22</v>
      </c>
      <c r="B31" s="1" t="s">
        <v>306</v>
      </c>
      <c r="C31" s="1" t="s">
        <v>31</v>
      </c>
      <c r="D31" s="5">
        <v>525</v>
      </c>
      <c r="E31" s="6">
        <v>6325</v>
      </c>
      <c r="F31" s="5">
        <v>250</v>
      </c>
      <c r="G31" s="5">
        <v>520</v>
      </c>
      <c r="H31" s="5">
        <v>185</v>
      </c>
      <c r="I31" s="5">
        <v>295</v>
      </c>
      <c r="J31" s="5">
        <v>4</v>
      </c>
      <c r="K31" s="5">
        <v>0</v>
      </c>
      <c r="L31" s="5">
        <v>50</v>
      </c>
      <c r="M31" s="5">
        <v>0</v>
      </c>
      <c r="N31" s="5">
        <v>0</v>
      </c>
      <c r="O31">
        <f t="shared" si="0"/>
        <v>1304</v>
      </c>
    </row>
    <row r="32" spans="1:15">
      <c r="A32" t="s">
        <v>22</v>
      </c>
      <c r="B32" s="1" t="s">
        <v>309</v>
      </c>
      <c r="C32" s="1" t="s">
        <v>31</v>
      </c>
      <c r="D32" s="6">
        <v>82580</v>
      </c>
      <c r="E32" s="6">
        <v>630010</v>
      </c>
      <c r="F32" s="6">
        <v>62580</v>
      </c>
      <c r="G32" s="6">
        <v>129715</v>
      </c>
      <c r="H32" s="6">
        <v>8205</v>
      </c>
      <c r="I32" s="6">
        <v>24185</v>
      </c>
      <c r="J32" s="6">
        <v>1530</v>
      </c>
      <c r="K32" s="6">
        <v>1895</v>
      </c>
      <c r="L32" s="6">
        <v>3945</v>
      </c>
      <c r="M32" s="6">
        <v>1570</v>
      </c>
      <c r="N32" s="5">
        <v>825</v>
      </c>
      <c r="O32">
        <f t="shared" si="0"/>
        <v>234450</v>
      </c>
    </row>
    <row r="33" spans="1:15">
      <c r="A33" t="s">
        <v>333</v>
      </c>
      <c r="B33" s="3" t="s">
        <v>334</v>
      </c>
      <c r="C33" s="3" t="s">
        <v>31</v>
      </c>
      <c r="D33" s="2"/>
      <c r="E33" s="13">
        <v>10645</v>
      </c>
      <c r="F33" s="13">
        <v>1440</v>
      </c>
      <c r="G33" s="13">
        <v>1185</v>
      </c>
      <c r="H33" s="3">
        <v>100</v>
      </c>
      <c r="I33" s="13">
        <v>2410</v>
      </c>
      <c r="J33" s="3">
        <v>25</v>
      </c>
      <c r="K33" s="3">
        <v>525</v>
      </c>
      <c r="L33" s="2"/>
      <c r="M33" s="2"/>
      <c r="N33" s="2"/>
      <c r="O33">
        <f t="shared" si="0"/>
        <v>5685</v>
      </c>
    </row>
    <row r="34" spans="1:15">
      <c r="A34" t="s">
        <v>333</v>
      </c>
      <c r="B34" s="3" t="s">
        <v>335</v>
      </c>
      <c r="C34" s="3" t="s">
        <v>31</v>
      </c>
      <c r="D34" s="2"/>
      <c r="E34" s="13">
        <v>1795</v>
      </c>
      <c r="F34" s="3">
        <v>215</v>
      </c>
      <c r="G34" s="3">
        <v>170</v>
      </c>
      <c r="H34" s="3">
        <v>10</v>
      </c>
      <c r="I34" s="3">
        <v>665</v>
      </c>
      <c r="J34" s="3">
        <v>0</v>
      </c>
      <c r="K34" s="3">
        <v>70</v>
      </c>
      <c r="L34" s="2"/>
      <c r="M34" s="2"/>
      <c r="N34" s="2"/>
      <c r="O34">
        <f t="shared" si="0"/>
        <v>1130</v>
      </c>
    </row>
    <row r="35" spans="1:15">
      <c r="A35" t="s">
        <v>333</v>
      </c>
      <c r="B35" s="3" t="s">
        <v>336</v>
      </c>
      <c r="C35" s="3" t="s">
        <v>31</v>
      </c>
      <c r="D35" s="2"/>
      <c r="E35" s="13">
        <v>7360</v>
      </c>
      <c r="F35" s="13">
        <v>1035</v>
      </c>
      <c r="G35" s="3">
        <v>590</v>
      </c>
      <c r="H35" s="3">
        <v>0</v>
      </c>
      <c r="I35" s="13">
        <v>2130</v>
      </c>
      <c r="J35" s="3">
        <v>0</v>
      </c>
      <c r="K35" s="3">
        <v>280</v>
      </c>
      <c r="L35" s="2"/>
      <c r="M35" s="2"/>
      <c r="N35" s="2"/>
      <c r="O35">
        <f t="shared" si="0"/>
        <v>4035</v>
      </c>
    </row>
    <row r="36" spans="1:15">
      <c r="A36" t="s">
        <v>333</v>
      </c>
      <c r="B36" s="3" t="s">
        <v>337</v>
      </c>
      <c r="C36" s="3" t="s">
        <v>31</v>
      </c>
      <c r="D36" s="2"/>
      <c r="E36" s="13">
        <v>33525</v>
      </c>
      <c r="F36" s="13">
        <v>4770</v>
      </c>
      <c r="G36" s="13">
        <v>2790</v>
      </c>
      <c r="H36" s="3">
        <v>195</v>
      </c>
      <c r="I36" s="13">
        <v>6485</v>
      </c>
      <c r="J36" s="3">
        <v>65</v>
      </c>
      <c r="K36" s="13">
        <v>1250</v>
      </c>
      <c r="L36" s="2"/>
      <c r="M36" s="2"/>
      <c r="N36" s="2"/>
      <c r="O36">
        <f t="shared" si="0"/>
        <v>15555</v>
      </c>
    </row>
    <row r="37" spans="1:15">
      <c r="A37" t="s">
        <v>333</v>
      </c>
      <c r="B37" s="3" t="s">
        <v>338</v>
      </c>
      <c r="C37" s="3" t="s">
        <v>31</v>
      </c>
      <c r="D37" s="2"/>
      <c r="E37" s="13">
        <v>3550</v>
      </c>
      <c r="F37" s="3">
        <v>565</v>
      </c>
      <c r="G37" s="3">
        <v>635</v>
      </c>
      <c r="H37" s="3">
        <v>4</v>
      </c>
      <c r="I37" s="13">
        <v>3385</v>
      </c>
      <c r="J37" s="3">
        <v>30</v>
      </c>
      <c r="K37" s="3">
        <v>145</v>
      </c>
      <c r="L37" s="2"/>
      <c r="M37" s="2"/>
      <c r="N37" s="2"/>
      <c r="O37">
        <f t="shared" si="0"/>
        <v>4764</v>
      </c>
    </row>
    <row r="38" spans="1:15">
      <c r="A38" t="s">
        <v>333</v>
      </c>
      <c r="B38" s="3" t="s">
        <v>339</v>
      </c>
      <c r="C38" s="3" t="s">
        <v>31</v>
      </c>
      <c r="D38" s="2"/>
      <c r="E38" s="13">
        <v>10685</v>
      </c>
      <c r="F38" s="13">
        <v>1910</v>
      </c>
      <c r="G38" s="13">
        <v>1710</v>
      </c>
      <c r="H38" s="3">
        <v>50</v>
      </c>
      <c r="I38" s="13">
        <v>5885</v>
      </c>
      <c r="J38" s="3">
        <v>4</v>
      </c>
      <c r="K38" s="3">
        <v>395</v>
      </c>
      <c r="L38" s="2"/>
      <c r="M38" s="2"/>
      <c r="N38" s="2"/>
      <c r="O38">
        <f t="shared" si="0"/>
        <v>9954</v>
      </c>
    </row>
    <row r="39" spans="1:15">
      <c r="A39" t="s">
        <v>333</v>
      </c>
      <c r="B39" s="3" t="s">
        <v>340</v>
      </c>
      <c r="C39" s="4" t="s">
        <v>31</v>
      </c>
      <c r="D39" s="2"/>
      <c r="E39" s="13">
        <v>6280</v>
      </c>
      <c r="F39" s="3">
        <v>670</v>
      </c>
      <c r="G39" s="3">
        <v>675</v>
      </c>
      <c r="H39" s="3">
        <v>45</v>
      </c>
      <c r="I39" s="13">
        <v>1070</v>
      </c>
      <c r="J39" s="3">
        <v>15</v>
      </c>
      <c r="K39" s="3">
        <v>185</v>
      </c>
      <c r="L39" s="2"/>
      <c r="M39" s="2"/>
      <c r="N39" s="2"/>
      <c r="O39">
        <f t="shared" si="0"/>
        <v>2660</v>
      </c>
    </row>
    <row r="40" spans="1:15">
      <c r="A40" t="s">
        <v>333</v>
      </c>
      <c r="B40" s="3" t="s">
        <v>341</v>
      </c>
      <c r="C40" s="3" t="s">
        <v>31</v>
      </c>
      <c r="D40" s="2"/>
      <c r="E40" s="13">
        <v>27745</v>
      </c>
      <c r="F40" s="13">
        <v>3930</v>
      </c>
      <c r="G40" s="13">
        <v>3515</v>
      </c>
      <c r="H40" s="3">
        <v>115</v>
      </c>
      <c r="I40" s="13">
        <v>6720</v>
      </c>
      <c r="J40" s="3">
        <v>70</v>
      </c>
      <c r="K40" s="13">
        <v>1065</v>
      </c>
      <c r="L40" s="2"/>
      <c r="M40" s="2"/>
      <c r="N40" s="2"/>
      <c r="O40">
        <f t="shared" si="0"/>
        <v>15415</v>
      </c>
    </row>
    <row r="41" spans="1:15">
      <c r="A41" t="s">
        <v>333</v>
      </c>
      <c r="B41" s="3" t="s">
        <v>342</v>
      </c>
      <c r="C41" s="3" t="s">
        <v>31</v>
      </c>
      <c r="D41" s="2"/>
      <c r="E41" s="3">
        <v>835</v>
      </c>
      <c r="F41" s="3">
        <v>140</v>
      </c>
      <c r="G41" s="3">
        <v>220</v>
      </c>
      <c r="H41" s="3">
        <v>0</v>
      </c>
      <c r="I41" s="3">
        <v>190</v>
      </c>
      <c r="J41" s="3">
        <v>15</v>
      </c>
      <c r="K41" s="3">
        <v>25</v>
      </c>
      <c r="L41" s="2"/>
      <c r="M41" s="2"/>
      <c r="N41" s="2"/>
      <c r="O41">
        <f t="shared" si="0"/>
        <v>590</v>
      </c>
    </row>
    <row r="42" spans="1:15">
      <c r="A42" t="s">
        <v>333</v>
      </c>
      <c r="B42" s="3" t="s">
        <v>343</v>
      </c>
      <c r="C42" s="3" t="s">
        <v>31</v>
      </c>
      <c r="D42" s="2"/>
      <c r="E42" s="13">
        <v>2910</v>
      </c>
      <c r="F42" s="3">
        <v>370</v>
      </c>
      <c r="G42" s="3">
        <v>350</v>
      </c>
      <c r="H42" s="3">
        <v>25</v>
      </c>
      <c r="I42" s="13">
        <v>1010</v>
      </c>
      <c r="J42" s="3">
        <v>0</v>
      </c>
      <c r="K42" s="3">
        <v>70</v>
      </c>
      <c r="L42" s="2"/>
      <c r="M42" s="2"/>
      <c r="N42" s="2"/>
      <c r="O42">
        <f t="shared" si="0"/>
        <v>1825</v>
      </c>
    </row>
    <row r="43" spans="1:15">
      <c r="A43" t="s">
        <v>333</v>
      </c>
      <c r="B43" s="3" t="s">
        <v>344</v>
      </c>
      <c r="C43" s="4" t="s">
        <v>31</v>
      </c>
      <c r="D43" s="2"/>
      <c r="E43" s="13">
        <v>15150</v>
      </c>
      <c r="F43" s="13">
        <v>1705</v>
      </c>
      <c r="G43" s="13">
        <v>1190</v>
      </c>
      <c r="H43" s="3">
        <v>45</v>
      </c>
      <c r="I43" s="13">
        <v>4195</v>
      </c>
      <c r="J43" s="3">
        <v>15</v>
      </c>
      <c r="K43" s="3">
        <v>595</v>
      </c>
      <c r="L43" s="2"/>
      <c r="M43" s="2"/>
      <c r="N43" s="2"/>
      <c r="O43">
        <f t="shared" si="0"/>
        <v>7745</v>
      </c>
    </row>
    <row r="44" spans="1:15">
      <c r="A44" t="s">
        <v>333</v>
      </c>
      <c r="B44" s="3" t="s">
        <v>345</v>
      </c>
      <c r="C44" s="3" t="s">
        <v>31</v>
      </c>
      <c r="D44" s="2"/>
      <c r="E44" s="13">
        <v>3115</v>
      </c>
      <c r="F44" s="3">
        <v>490</v>
      </c>
      <c r="G44" s="3">
        <v>290</v>
      </c>
      <c r="H44" s="3">
        <v>0</v>
      </c>
      <c r="I44" s="3">
        <v>735</v>
      </c>
      <c r="J44" s="3">
        <v>20</v>
      </c>
      <c r="K44" s="3">
        <v>105</v>
      </c>
      <c r="L44" s="2"/>
      <c r="M44" s="2"/>
      <c r="N44" s="2"/>
      <c r="O44">
        <f t="shared" si="0"/>
        <v>1640</v>
      </c>
    </row>
    <row r="45" spans="1:15">
      <c r="A45" t="s">
        <v>333</v>
      </c>
      <c r="B45" s="3" t="s">
        <v>346</v>
      </c>
      <c r="C45" s="3" t="s">
        <v>31</v>
      </c>
      <c r="D45" s="2"/>
      <c r="E45" s="13">
        <v>44890</v>
      </c>
      <c r="F45" s="13">
        <v>5875</v>
      </c>
      <c r="G45" s="13">
        <v>4775</v>
      </c>
      <c r="H45" s="3">
        <v>260</v>
      </c>
      <c r="I45" s="13">
        <v>18040</v>
      </c>
      <c r="J45" s="3">
        <v>215</v>
      </c>
      <c r="K45" s="13">
        <v>1805</v>
      </c>
      <c r="L45" s="2"/>
      <c r="M45" s="2"/>
      <c r="N45" s="2"/>
      <c r="O45">
        <f t="shared" si="0"/>
        <v>30970</v>
      </c>
    </row>
    <row r="46" spans="1:15">
      <c r="A46" t="s">
        <v>333</v>
      </c>
      <c r="B46" s="3" t="s">
        <v>347</v>
      </c>
      <c r="C46" s="3" t="s">
        <v>31</v>
      </c>
      <c r="D46" s="2"/>
      <c r="E46" s="13">
        <v>75875</v>
      </c>
      <c r="F46" s="13">
        <v>13695</v>
      </c>
      <c r="G46" s="13">
        <v>12005</v>
      </c>
      <c r="H46" s="3">
        <v>705</v>
      </c>
      <c r="I46" s="13">
        <v>11955</v>
      </c>
      <c r="J46" s="3">
        <v>170</v>
      </c>
      <c r="K46" s="13">
        <v>2655</v>
      </c>
      <c r="L46" s="2"/>
      <c r="M46" s="2"/>
      <c r="N46" s="2"/>
      <c r="O46">
        <f t="shared" si="0"/>
        <v>41185</v>
      </c>
    </row>
    <row r="47" spans="1:15">
      <c r="A47" t="s">
        <v>333</v>
      </c>
      <c r="B47" s="3" t="s">
        <v>348</v>
      </c>
      <c r="C47" s="3" t="s">
        <v>31</v>
      </c>
      <c r="D47" s="2"/>
      <c r="E47" s="13">
        <v>122610</v>
      </c>
      <c r="F47" s="13">
        <v>12065</v>
      </c>
      <c r="G47" s="13">
        <v>8360</v>
      </c>
      <c r="H47" s="3">
        <v>170</v>
      </c>
      <c r="I47" s="13">
        <v>5070</v>
      </c>
      <c r="J47" s="3">
        <v>30</v>
      </c>
      <c r="K47" s="13">
        <v>3035</v>
      </c>
      <c r="L47" s="2"/>
      <c r="M47" s="2"/>
      <c r="N47" s="2"/>
      <c r="O47">
        <f t="shared" si="0"/>
        <v>28730</v>
      </c>
    </row>
    <row r="48" spans="1:15">
      <c r="A48" t="s">
        <v>333</v>
      </c>
      <c r="B48" s="3" t="s">
        <v>349</v>
      </c>
      <c r="C48" s="3" t="s">
        <v>31</v>
      </c>
      <c r="D48" s="2"/>
      <c r="E48" s="13">
        <v>932655</v>
      </c>
      <c r="F48" s="13">
        <v>208015</v>
      </c>
      <c r="G48" s="13">
        <v>304470</v>
      </c>
      <c r="H48" s="13">
        <v>13175</v>
      </c>
      <c r="I48" s="13">
        <v>46565</v>
      </c>
      <c r="J48" s="13">
        <v>2040</v>
      </c>
      <c r="K48" s="13">
        <v>33660</v>
      </c>
      <c r="L48" s="2"/>
      <c r="M48" s="2"/>
      <c r="N48" s="2"/>
      <c r="O48">
        <f t="shared" si="0"/>
        <v>607925</v>
      </c>
    </row>
    <row r="49" spans="1:15">
      <c r="A49" t="s">
        <v>333</v>
      </c>
      <c r="B49" s="3" t="s">
        <v>350</v>
      </c>
      <c r="C49" s="3" t="s">
        <v>31</v>
      </c>
      <c r="D49" s="2"/>
      <c r="E49" s="13">
        <v>374035</v>
      </c>
      <c r="F49" s="13">
        <v>84855</v>
      </c>
      <c r="G49" s="13">
        <v>98635</v>
      </c>
      <c r="H49" s="13">
        <v>3780</v>
      </c>
      <c r="I49" s="13">
        <v>20125</v>
      </c>
      <c r="J49" s="3">
        <v>675</v>
      </c>
      <c r="K49" s="13">
        <v>10815</v>
      </c>
      <c r="L49" s="2"/>
      <c r="M49" s="2"/>
      <c r="N49" s="2"/>
      <c r="O49">
        <f t="shared" si="0"/>
        <v>218885</v>
      </c>
    </row>
    <row r="50" spans="1:15">
      <c r="A50" t="s">
        <v>333</v>
      </c>
      <c r="B50" s="3" t="s">
        <v>351</v>
      </c>
      <c r="C50" s="3" t="s">
        <v>31</v>
      </c>
      <c r="D50" s="2"/>
      <c r="E50" s="13">
        <v>2283435</v>
      </c>
      <c r="F50" s="13">
        <v>277620</v>
      </c>
      <c r="G50" s="13">
        <v>259915</v>
      </c>
      <c r="H50" s="13">
        <v>11565</v>
      </c>
      <c r="I50" s="13">
        <v>81375</v>
      </c>
      <c r="J50" s="13">
        <v>1990</v>
      </c>
      <c r="K50" s="13">
        <v>45910</v>
      </c>
      <c r="L50" s="2"/>
      <c r="M50" s="2"/>
      <c r="N50" s="2"/>
      <c r="O50">
        <f t="shared" si="0"/>
        <v>678375</v>
      </c>
    </row>
    <row r="51" spans="1:15">
      <c r="A51" t="s">
        <v>333</v>
      </c>
      <c r="B51" s="3" t="s">
        <v>352</v>
      </c>
      <c r="C51" s="3" t="s">
        <v>31</v>
      </c>
      <c r="D51" s="2"/>
      <c r="E51" s="13">
        <v>358350</v>
      </c>
      <c r="F51" s="13">
        <v>40985</v>
      </c>
      <c r="G51" s="13">
        <v>34450</v>
      </c>
      <c r="H51" s="13">
        <v>1900</v>
      </c>
      <c r="I51" s="13">
        <v>15025</v>
      </c>
      <c r="J51" s="3">
        <v>380</v>
      </c>
      <c r="K51" s="13">
        <v>8300</v>
      </c>
      <c r="L51" s="2"/>
      <c r="M51" s="2"/>
      <c r="N51" s="2"/>
      <c r="O51">
        <f t="shared" si="0"/>
        <v>101040</v>
      </c>
    </row>
    <row r="52" spans="1:15">
      <c r="A52" t="s">
        <v>333</v>
      </c>
      <c r="B52" s="3" t="s">
        <v>353</v>
      </c>
      <c r="C52" s="3" t="s">
        <v>31</v>
      </c>
      <c r="D52" s="2"/>
      <c r="E52" s="13">
        <v>175040</v>
      </c>
      <c r="F52" s="13">
        <v>22045</v>
      </c>
      <c r="G52" s="13">
        <v>20730</v>
      </c>
      <c r="H52" s="13">
        <v>1090</v>
      </c>
      <c r="I52" s="13">
        <v>5955</v>
      </c>
      <c r="J52" s="3">
        <v>230</v>
      </c>
      <c r="K52" s="13">
        <v>4235</v>
      </c>
      <c r="L52" s="2"/>
      <c r="M52" s="2"/>
      <c r="N52" s="2"/>
      <c r="O52">
        <f t="shared" si="0"/>
        <v>54285</v>
      </c>
    </row>
    <row r="53" spans="1:15">
      <c r="A53" t="s">
        <v>333</v>
      </c>
      <c r="B53" s="3" t="s">
        <v>354</v>
      </c>
      <c r="C53" s="3" t="s">
        <v>31</v>
      </c>
      <c r="D53" s="2"/>
      <c r="E53" s="13">
        <v>649570</v>
      </c>
      <c r="F53" s="13">
        <v>180600</v>
      </c>
      <c r="G53" s="13">
        <v>134750</v>
      </c>
      <c r="H53" s="13">
        <v>7795</v>
      </c>
      <c r="I53" s="13">
        <v>41440</v>
      </c>
      <c r="J53" s="13">
        <v>1850</v>
      </c>
      <c r="K53" s="13">
        <v>20555</v>
      </c>
      <c r="L53" s="2"/>
      <c r="M53" s="2"/>
      <c r="N53" s="2"/>
      <c r="O53">
        <f t="shared" si="0"/>
        <v>386990</v>
      </c>
    </row>
    <row r="54" spans="1:15">
      <c r="A54" t="s">
        <v>333</v>
      </c>
      <c r="B54" s="3" t="s">
        <v>355</v>
      </c>
      <c r="C54" s="3" t="s">
        <v>31</v>
      </c>
      <c r="D54" s="2"/>
      <c r="E54" s="13">
        <v>2059395</v>
      </c>
      <c r="F54" s="13">
        <v>187060</v>
      </c>
      <c r="G54" s="13">
        <v>319390</v>
      </c>
      <c r="H54" s="13">
        <v>10910</v>
      </c>
      <c r="I54" s="13">
        <v>236875</v>
      </c>
      <c r="J54" s="13">
        <v>2625</v>
      </c>
      <c r="K54" s="13">
        <v>48990</v>
      </c>
      <c r="L54" s="2"/>
      <c r="M54" s="2"/>
      <c r="N54" s="2"/>
      <c r="O54">
        <f t="shared" si="0"/>
        <v>805850</v>
      </c>
    </row>
    <row r="55" spans="1:15">
      <c r="A55" t="s">
        <v>333</v>
      </c>
      <c r="B55" s="3" t="s">
        <v>356</v>
      </c>
      <c r="C55" s="3" t="s">
        <v>31</v>
      </c>
      <c r="D55" s="2"/>
      <c r="E55" s="13">
        <v>135330</v>
      </c>
      <c r="F55" s="13">
        <v>7210</v>
      </c>
      <c r="G55" s="13">
        <v>11700</v>
      </c>
      <c r="H55" s="3">
        <v>340</v>
      </c>
      <c r="I55" s="13">
        <v>9055</v>
      </c>
      <c r="J55" s="3">
        <v>25</v>
      </c>
      <c r="K55" s="13">
        <v>2400</v>
      </c>
      <c r="L55" s="2"/>
      <c r="M55" s="2"/>
      <c r="N55" s="2"/>
      <c r="O55">
        <f t="shared" si="0"/>
        <v>30730</v>
      </c>
    </row>
    <row r="56" spans="1:15">
      <c r="A56" t="s">
        <v>333</v>
      </c>
      <c r="B56" s="3" t="s">
        <v>357</v>
      </c>
      <c r="C56" s="3" t="s">
        <v>31</v>
      </c>
      <c r="D56" s="2"/>
      <c r="E56" s="13">
        <v>1335565</v>
      </c>
      <c r="F56" s="13">
        <v>552280</v>
      </c>
      <c r="G56" s="13">
        <v>937290</v>
      </c>
      <c r="H56" s="13">
        <v>26945</v>
      </c>
      <c r="I56" s="13">
        <v>176625</v>
      </c>
      <c r="J56" s="13">
        <v>8895</v>
      </c>
      <c r="K56" s="13">
        <v>72875</v>
      </c>
      <c r="L56" s="2"/>
      <c r="M56" s="2"/>
      <c r="N56" s="2"/>
      <c r="O56">
        <f t="shared" si="0"/>
        <v>1774910</v>
      </c>
    </row>
    <row r="57" spans="1:15">
      <c r="A57" t="s">
        <v>333</v>
      </c>
      <c r="B57" s="3" t="s">
        <v>358</v>
      </c>
      <c r="C57" s="3" t="s">
        <v>31</v>
      </c>
      <c r="D57" s="2"/>
      <c r="E57" s="13">
        <v>639760</v>
      </c>
      <c r="F57" s="13">
        <v>160550</v>
      </c>
      <c r="G57" s="13">
        <v>108575</v>
      </c>
      <c r="H57" s="13">
        <v>4285</v>
      </c>
      <c r="I57" s="13">
        <v>197290</v>
      </c>
      <c r="J57" s="13">
        <v>1100</v>
      </c>
      <c r="K57" s="13">
        <v>20890</v>
      </c>
      <c r="L57" s="2"/>
      <c r="M57" s="2"/>
      <c r="N57" s="2"/>
      <c r="O57">
        <f t="shared" si="0"/>
        <v>492690</v>
      </c>
    </row>
  </sheetData>
  <pageMargins left="0.7" right="0.7" top="0.75" bottom="0.75" header="0.3" footer="0.3"/>
  <ignoredErrors>
    <ignoredError sqref="O2:O5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2022-10-15T16:01:59Z</dcterms:created>
  <dcterms:modified xsi:type="dcterms:W3CDTF">2022-10-21T22:20:37Z</dcterms:modified>
</cp:coreProperties>
</file>